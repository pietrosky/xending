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allo\Desktop\Xending credito importador\"/>
    </mc:Choice>
  </mc:AlternateContent>
  <xr:revisionPtr revIDLastSave="0" documentId="8_{21623279-472D-41DF-84DE-86B1B3F3F171}" xr6:coauthVersionLast="47" xr6:coauthVersionMax="47" xr10:uidLastSave="{00000000-0000-0000-0000-000000000000}"/>
  <bookViews>
    <workbookView xWindow="-120" yWindow="-120" windowWidth="51840" windowHeight="21120" tabRatio="857" activeTab="5" xr2:uid="{00000000-000D-0000-FFFF-FFFF00000000}"/>
  </bookViews>
  <sheets>
    <sheet name="Scoring Interno" sheetId="8" r:id="rId1"/>
    <sheet name="Sub variables gral" sheetId="9" r:id="rId2"/>
    <sheet name="Sub variables Buro" sheetId="2" r:id="rId3"/>
    <sheet name="Sub variables catalogo" sheetId="10" r:id="rId4"/>
    <sheet name="MATRIZ DE RIESGO % RESUMEN" sheetId="6" r:id="rId5"/>
    <sheet name="MATRIZ DE RIESGO $ RESUMEN" sheetId="5" r:id="rId6"/>
  </sheets>
  <definedNames>
    <definedName name="Inicio_del_proyecto" localSheetId="5">#REF!</definedName>
    <definedName name="Inicio_del_proyecto" localSheetId="4">#REF!</definedName>
    <definedName name="Inicio_del_proyecto" localSheetId="0">#REF!</definedName>
    <definedName name="Inicio_del_proyecto">#REF!</definedName>
    <definedName name="Semana_para_mostrar" localSheetId="5">#REF!</definedName>
    <definedName name="Semana_para_mostrar" localSheetId="4">#REF!</definedName>
    <definedName name="Semana_para_mostrar" localSheetId="0">#REF!</definedName>
    <definedName name="Semana_para_mostrar">#REF!</definedName>
    <definedName name="YO" localSheetId="4">#REF!</definedName>
    <definedName name="YO" localSheetId="0">#REF!</definedName>
    <definedName name="Y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8" l="1"/>
  <c r="E35" i="9"/>
  <c r="C14" i="8" l="1"/>
  <c r="C6" i="8"/>
  <c r="C5" i="8"/>
  <c r="E11" i="2"/>
  <c r="D2" i="2" s="1"/>
  <c r="E41" i="9"/>
  <c r="C16" i="8" s="1"/>
  <c r="E38" i="9"/>
  <c r="C15" i="8" s="1"/>
  <c r="E32" i="9"/>
  <c r="C13" i="8" s="1"/>
  <c r="E29" i="9"/>
  <c r="C11" i="8" s="1"/>
  <c r="E26" i="9"/>
  <c r="C10" i="8" s="1"/>
  <c r="E19" i="9"/>
  <c r="C9" i="8" s="1"/>
  <c r="E13" i="9"/>
  <c r="C8" i="8" s="1"/>
  <c r="E9" i="9"/>
  <c r="C7" i="8" s="1"/>
  <c r="E5" i="9"/>
  <c r="E43" i="9" s="1"/>
  <c r="E2" i="9" s="1"/>
  <c r="C17" i="9"/>
  <c r="N4" i="8"/>
  <c r="C12" i="8" l="1"/>
  <c r="C4" i="8"/>
  <c r="C17" i="8" s="1"/>
  <c r="K35" i="5"/>
  <c r="K29" i="5"/>
  <c r="K23" i="5"/>
  <c r="K17" i="5"/>
  <c r="K11" i="5"/>
  <c r="L37" i="5"/>
  <c r="L31" i="5"/>
  <c r="L25" i="5"/>
  <c r="L19" i="5"/>
  <c r="L13" i="5"/>
  <c r="I31" i="5"/>
  <c r="I25" i="5"/>
  <c r="I19" i="5"/>
  <c r="J9" i="5"/>
  <c r="J15" i="5"/>
  <c r="J27" i="5"/>
  <c r="J21" i="5"/>
  <c r="G11" i="5"/>
  <c r="F27" i="5"/>
  <c r="F21" i="5"/>
  <c r="F15" i="5"/>
  <c r="F9" i="5"/>
  <c r="J33" i="5"/>
  <c r="G29" i="5"/>
  <c r="G23" i="5"/>
  <c r="G17" i="5"/>
  <c r="I13" i="5"/>
  <c r="C11" i="2" l="1"/>
  <c r="F4" i="8" l="1"/>
  <c r="H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G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Ancho de pluma de velocimetro
</t>
        </r>
      </text>
    </comment>
    <comment ref="A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de acuerdo al estudio de mortandad de empresas del Banco de Mexico, la percepcion generalizada es que el 80% de las nuevas empresas mueren antes de los 2 años de creadas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H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Pensando en riesgo delincuencial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Score Buro de Crédito
</t>
        </r>
      </text>
    </comment>
    <comment ref="D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Score Interno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Score Buro de Crédito
</t>
        </r>
      </text>
    </comment>
    <comment ref="D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Score Interno</t>
        </r>
      </text>
    </comment>
  </commentList>
</comments>
</file>

<file path=xl/sharedStrings.xml><?xml version="1.0" encoding="utf-8"?>
<sst xmlns="http://schemas.openxmlformats.org/spreadsheetml/2006/main" count="213" uniqueCount="135">
  <si>
    <t>REQUISITOS PARA SOLICITUD DEL CREDITO</t>
  </si>
  <si>
    <t>5. Estados Financieros de los últimos tres cierres así como del período en curso (incluyendo analíticas de las principales cuentas de balance).</t>
  </si>
  <si>
    <t>Análisis Vertical</t>
  </si>
  <si>
    <t>Análisis Horizontal,</t>
  </si>
  <si>
    <t>Análisis de Liquidez</t>
  </si>
  <si>
    <t>Análisis de Apalancamiento</t>
  </si>
  <si>
    <t>Peso variable (%)</t>
  </si>
  <si>
    <t>Variable</t>
  </si>
  <si>
    <t>Peso Variable 
(%)</t>
  </si>
  <si>
    <t>Score Estados financieros</t>
  </si>
  <si>
    <t>Sub - variable</t>
  </si>
  <si>
    <t>Estados Financieros</t>
  </si>
  <si>
    <t>SCORING SUB - VARIABLES</t>
  </si>
  <si>
    <t>META SCORING</t>
  </si>
  <si>
    <t>% AVANCE</t>
  </si>
  <si>
    <t>LINEA</t>
  </si>
  <si>
    <t>VACIO</t>
  </si>
  <si>
    <t>RIESGO</t>
  </si>
  <si>
    <t>TOTAL</t>
  </si>
  <si>
    <t>SCORING SOLVENCIA</t>
  </si>
  <si>
    <t xml:space="preserve">RIESGO ALTO </t>
  </si>
  <si>
    <t>RIESGO MEDIO ALTO</t>
  </si>
  <si>
    <t>RIESGO BAJO</t>
  </si>
  <si>
    <t xml:space="preserve">MATRIZ DE RIESGOS </t>
  </si>
  <si>
    <t xml:space="preserve">Créditos Nuevos </t>
  </si>
  <si>
    <t>Monto Solicitado 
($ Pesos)</t>
  </si>
  <si>
    <t>Plazo
(Días)</t>
  </si>
  <si>
    <t>Menor a 652</t>
  </si>
  <si>
    <t>652 a 680</t>
  </si>
  <si>
    <t>681 a 700</t>
  </si>
  <si>
    <t>701 en adelante</t>
  </si>
  <si>
    <t>411 - 420</t>
  </si>
  <si>
    <t>421  - 430</t>
  </si>
  <si>
    <t>&gt; 430</t>
  </si>
  <si>
    <t>Con Aval + Garantía</t>
  </si>
  <si>
    <t xml:space="preserve">Con Garantía </t>
  </si>
  <si>
    <t>No Aplica</t>
  </si>
  <si>
    <t>de $500,000 a $1´500,000</t>
  </si>
  <si>
    <t>de $1´500,001 a $3'000,000</t>
  </si>
  <si>
    <t>de $3'000,001 a $4´500,000</t>
  </si>
  <si>
    <t>de $4´500,001 a $6´000,000</t>
  </si>
  <si>
    <t>de $6´000,001  a $7'500,000</t>
  </si>
  <si>
    <t>de $7'500,001 a $10´000,000</t>
  </si>
  <si>
    <t>RIESGO MEDIO BAJO</t>
  </si>
  <si>
    <t>20% - 24%</t>
  </si>
  <si>
    <t>25% - 30%</t>
  </si>
  <si>
    <t>40% - 49%</t>
  </si>
  <si>
    <t>31% - 39%</t>
  </si>
  <si>
    <t>50% - 60%</t>
  </si>
  <si>
    <t>61% - 70%</t>
  </si>
  <si>
    <t>71% - 80%</t>
  </si>
  <si>
    <t>81% - 90%</t>
  </si>
  <si>
    <t>HASTA 100% DE LA LÍNEA DE CRÉDITO</t>
  </si>
  <si>
    <t>MONTOS PROPUESTOS PARA EL PRIMER CREDITO, CON POSIBILIDAD DE INCREMENTAR EL MONTO EN LA SIGUIENTE LINEA</t>
  </si>
  <si>
    <t>NO ES PROSPECTO DE CRÉDITO</t>
  </si>
  <si>
    <t>Antigüedad del negocio mínima de 1 año</t>
  </si>
  <si>
    <t xml:space="preserve">Giro del negocio </t>
  </si>
  <si>
    <t>Documentos básicos de identificación (CURP,INE, Comprobante de domicilio de empresa y persona)</t>
  </si>
  <si>
    <t>Análisis de Rentabilidad</t>
  </si>
  <si>
    <t xml:space="preserve">Hasta 20% de acuerdo a los resultados de cada análisis </t>
  </si>
  <si>
    <t xml:space="preserve">Zona / Ubicación </t>
  </si>
  <si>
    <t>Constancia de situación fiscal de la empresa y del principal accionista.</t>
  </si>
  <si>
    <t>Comprobante de domicilio reciente de la empresa (no mayor a 3 meses).</t>
  </si>
  <si>
    <t>Estados Financieros de los últimos tres cierres así como del período en curso (incluyendo analíticas de las principales cuentas de balance).</t>
  </si>
  <si>
    <t>Declaraciones anuales de los últimos tres períodos (incluyendo acuse).</t>
  </si>
  <si>
    <t>Tabla de pasivos financieros.</t>
  </si>
  <si>
    <t>Relación patrimonial del principal accionista.</t>
  </si>
  <si>
    <t>Copia de acta de matrimonio del principal accionista.</t>
  </si>
  <si>
    <t>Enfoque del crédito (capital de trabajo, Instalaciones y equipamiento)</t>
  </si>
  <si>
    <t xml:space="preserve">Condición </t>
  </si>
  <si>
    <t>Si el negocio tiene de 11 a 12 mese de antigüedad = 80%</t>
  </si>
  <si>
    <t>Si el negocio tiene 10 meses o  menos de antigüedad = 70%</t>
  </si>
  <si>
    <t>Si el negocio tiene antigüedad mayor a 1 año = 100%</t>
  </si>
  <si>
    <t>Castiga / Premia</t>
  </si>
  <si>
    <t xml:space="preserve">Premia </t>
  </si>
  <si>
    <t xml:space="preserve">Castiga </t>
  </si>
  <si>
    <t>Premia</t>
  </si>
  <si>
    <t xml:space="preserve">Asignación de puntuación de acuerdo a la ubicación donde se encuentre el negocio </t>
  </si>
  <si>
    <t xml:space="preserve">Capital de Trabajo </t>
  </si>
  <si>
    <t xml:space="preserve">Instalaciones </t>
  </si>
  <si>
    <t>Equipmiento</t>
  </si>
  <si>
    <t xml:space="preserve">Enfoque del crédito </t>
  </si>
  <si>
    <t>CURP</t>
  </si>
  <si>
    <t>INE</t>
  </si>
  <si>
    <t>Comprobante de domicilio de empresa</t>
  </si>
  <si>
    <t>Comprobante de domicilio de la persona</t>
  </si>
  <si>
    <t xml:space="preserve">Total de documentos presentados </t>
  </si>
  <si>
    <t>Acta Constitutiva, poderes vigentes, asambleas de cambios en capital y modificaciones en estatutos.
(Acta Constitutiva y poderes con inscripción al Regisitro público de la propiedad)</t>
  </si>
  <si>
    <t>Acta Constitutiva  con inscripción al Regisitro público de la propiedad</t>
  </si>
  <si>
    <t>Poderes vigente  con inscripción al Regisitro público de la propiedad</t>
  </si>
  <si>
    <t>Asambleas de cambios en capital</t>
  </si>
  <si>
    <t>Modificaciones en estatutos</t>
  </si>
  <si>
    <t xml:space="preserve">El Acta Constitutiva y los Poderes vigentes no se encuentran inscritos en el Registro Público de la Propiedad </t>
  </si>
  <si>
    <t>El Acta Constitutiva y los Poderes vigentes no se encuentran inscritos en el Registro Público de la Propiedad + Asamblea de cambios en capital o modificaciones en estatutos</t>
  </si>
  <si>
    <t>Puntaje Asignado</t>
  </si>
  <si>
    <t>De la Empresa</t>
  </si>
  <si>
    <t>Del principal accionista</t>
  </si>
  <si>
    <t>Documentos básicos de identificación del representante legan y principal accionista</t>
  </si>
  <si>
    <t xml:space="preserve">Constancia de situación fiscal </t>
  </si>
  <si>
    <t>Presenta comprobante</t>
  </si>
  <si>
    <t>No presenta comprobante</t>
  </si>
  <si>
    <t>Castiga</t>
  </si>
  <si>
    <t xml:space="preserve">Si presenta declaraciones anuales </t>
  </si>
  <si>
    <t xml:space="preserve">No presenta declaraciones anuales  </t>
  </si>
  <si>
    <t>Si presenta tabla de pasivos financieros</t>
  </si>
  <si>
    <t>No presenta tabla de pasivos financieros</t>
  </si>
  <si>
    <t>Si presenta relación patrimonial del principal accionista</t>
  </si>
  <si>
    <t>No presenta relación patrimonial del principal accionista</t>
  </si>
  <si>
    <t>Si presenta copia de acta de matrimonio del principal accionista</t>
  </si>
  <si>
    <t>No presenta copia de acta de matrimonio del principal accionista</t>
  </si>
  <si>
    <t>Puntaje total</t>
  </si>
  <si>
    <t xml:space="preserve">Puntaje Total </t>
  </si>
  <si>
    <t>Layout General</t>
  </si>
  <si>
    <t>Cada uno de los analisis a a los estados financieros generaran un puntaje de hasta el 20% de acuerdo a los resultados obtenidos y a la importancia que la institución le de a cada uno.</t>
  </si>
  <si>
    <t>CALIFICACIONES</t>
  </si>
  <si>
    <t>SCORE  
FINAL</t>
  </si>
  <si>
    <t xml:space="preserve">Construcción </t>
  </si>
  <si>
    <t xml:space="preserve">Manufactura </t>
  </si>
  <si>
    <t>Asignación de puntuación de cuerdo al tipo de negocio al que se otroga el crédito, con criterios de generación de flujos de efectivo.</t>
  </si>
  <si>
    <t>Fronteriza</t>
  </si>
  <si>
    <t xml:space="preserve">Zona comercial </t>
  </si>
  <si>
    <t>Zona industrial</t>
  </si>
  <si>
    <t>Scorig Inetrno</t>
  </si>
  <si>
    <t>Transporte</t>
  </si>
  <si>
    <t xml:space="preserve">Puntuación </t>
  </si>
  <si>
    <t>Sub Variable</t>
  </si>
  <si>
    <t>SCORING EMPRESA</t>
  </si>
  <si>
    <t>Riesgo Medio Alto</t>
  </si>
  <si>
    <t xml:space="preserve">Riegos Medio </t>
  </si>
  <si>
    <t xml:space="preserve">Riesgo Bajo </t>
  </si>
  <si>
    <t>Riesgo Alto</t>
  </si>
  <si>
    <t>Antigüedad del negocio mínima de 2 años</t>
  </si>
  <si>
    <t xml:space="preserve">Comercial </t>
  </si>
  <si>
    <t>Industrial</t>
  </si>
  <si>
    <t>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</si>
</sst>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;;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87E18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2060"/>
        <bgColor indexed="64"/>
      </patternFill>
    </fill>
  </fills>
  <borders count="9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theme="0" tint="-0.249977111117893"/>
      </left>
      <right style="thin">
        <color theme="0" tint="-0.499984740745262"/>
      </right>
      <top style="medium">
        <color theme="0" tint="-0.249977111117893"/>
      </top>
      <bottom/>
      <diagonal/>
    </border>
    <border>
      <left style="thin">
        <color theme="0" tint="-0.499984740745262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249977111117893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 style="medium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dashed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dashed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249977111117893"/>
      </right>
      <top style="thin">
        <color theme="0" tint="-0.34998626667073579"/>
      </top>
      <bottom style="medium">
        <color theme="0" tint="-0.249977111117893"/>
      </bottom>
      <diagonal/>
    </border>
    <border>
      <left style="thin">
        <color theme="0" tint="-0.34998626667073579"/>
      </left>
      <right style="medium">
        <color theme="0" tint="-0.249977111117893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 style="dashed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dashed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dash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 style="medium">
        <color theme="0" tint="-0.249977111117893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/>
      <right style="medium">
        <color theme="0" tint="-0.34998626667073579"/>
      </right>
      <top style="medium">
        <color theme="0" tint="-0.249977111117893"/>
      </top>
      <bottom/>
      <diagonal/>
    </border>
    <border>
      <left style="medium">
        <color theme="0" tint="-0.34998626667073579"/>
      </left>
      <right/>
      <top style="medium">
        <color theme="0" tint="-0.249977111117893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13" borderId="1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9" fontId="4" fillId="13" borderId="10" xfId="0" applyNumberFormat="1" applyFont="1" applyFill="1" applyBorder="1" applyAlignment="1">
      <alignment horizontal="center" vertical="center"/>
    </xf>
    <xf numFmtId="9" fontId="4" fillId="13" borderId="11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9" fontId="4" fillId="17" borderId="1" xfId="0" applyNumberFormat="1" applyFont="1" applyFill="1" applyBorder="1" applyAlignment="1">
      <alignment horizontal="center" vertical="center"/>
    </xf>
    <xf numFmtId="9" fontId="4" fillId="17" borderId="38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9" fontId="4" fillId="16" borderId="4" xfId="0" applyNumberFormat="1" applyFont="1" applyFill="1" applyBorder="1" applyAlignment="1">
      <alignment horizontal="center" vertical="center"/>
    </xf>
    <xf numFmtId="9" fontId="4" fillId="16" borderId="2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4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0" fillId="0" borderId="4" xfId="0" applyBorder="1"/>
    <xf numFmtId="0" fontId="0" fillId="0" borderId="39" xfId="0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9" fontId="13" fillId="13" borderId="11" xfId="0" applyNumberFormat="1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9" fontId="13" fillId="0" borderId="4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43" xfId="0" applyFont="1" applyBorder="1"/>
    <xf numFmtId="0" fontId="13" fillId="0" borderId="36" xfId="0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9" fontId="4" fillId="5" borderId="11" xfId="0" applyNumberFormat="1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164" fontId="4" fillId="5" borderId="0" xfId="1" applyFont="1" applyFill="1" applyBorder="1" applyAlignment="1">
      <alignment vertical="center"/>
    </xf>
    <xf numFmtId="0" fontId="4" fillId="5" borderId="5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0" fillId="5" borderId="41" xfId="0" applyFill="1" applyBorder="1"/>
    <xf numFmtId="0" fontId="4" fillId="5" borderId="41" xfId="0" applyFont="1" applyFill="1" applyBorder="1" applyAlignment="1">
      <alignment vertical="center"/>
    </xf>
    <xf numFmtId="0" fontId="0" fillId="5" borderId="0" xfId="0" applyFill="1"/>
    <xf numFmtId="0" fontId="15" fillId="0" borderId="3" xfId="0" applyFont="1" applyBorder="1"/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5" borderId="54" xfId="0" applyFont="1" applyFill="1" applyBorder="1" applyAlignment="1">
      <alignment vertical="center"/>
    </xf>
    <xf numFmtId="0" fontId="13" fillId="0" borderId="58" xfId="0" applyFont="1" applyBorder="1" applyAlignment="1">
      <alignment vertical="center"/>
    </xf>
    <xf numFmtId="0" fontId="13" fillId="0" borderId="60" xfId="0" applyFont="1" applyBorder="1" applyAlignment="1">
      <alignment vertical="center"/>
    </xf>
    <xf numFmtId="0" fontId="4" fillId="0" borderId="61" xfId="0" applyFont="1" applyBorder="1" applyAlignment="1">
      <alignment vertical="center"/>
    </xf>
    <xf numFmtId="0" fontId="13" fillId="0" borderId="64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9" borderId="0" xfId="0" applyFill="1"/>
    <xf numFmtId="0" fontId="16" fillId="22" borderId="0" xfId="0" applyFont="1" applyFill="1" applyAlignment="1">
      <alignment horizontal="center" vertical="center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vertical="center"/>
    </xf>
    <xf numFmtId="0" fontId="0" fillId="23" borderId="1" xfId="0" applyFill="1" applyBorder="1"/>
    <xf numFmtId="0" fontId="0" fillId="23" borderId="1" xfId="0" applyFill="1" applyBorder="1" applyAlignment="1">
      <alignment horizontal="left" vertical="center"/>
    </xf>
    <xf numFmtId="0" fontId="0" fillId="23" borderId="0" xfId="0" applyFill="1"/>
    <xf numFmtId="0" fontId="0" fillId="23" borderId="0" xfId="0" applyFill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0" fillId="23" borderId="0" xfId="0" applyFill="1" applyAlignment="1">
      <alignment vertical="center"/>
    </xf>
    <xf numFmtId="0" fontId="16" fillId="22" borderId="0" xfId="0" applyFont="1" applyFill="1" applyAlignment="1">
      <alignment horizontal="center" vertical="center" wrapText="1"/>
    </xf>
    <xf numFmtId="0" fontId="0" fillId="24" borderId="0" xfId="0" applyFill="1" applyAlignment="1">
      <alignment horizontal="left" vertical="center" wrapText="1"/>
    </xf>
    <xf numFmtId="0" fontId="0" fillId="24" borderId="0" xfId="0" applyFill="1" applyAlignment="1">
      <alignment wrapText="1"/>
    </xf>
    <xf numFmtId="0" fontId="0" fillId="24" borderId="4" xfId="0" applyFill="1" applyBorder="1" applyAlignment="1">
      <alignment vertical="center"/>
    </xf>
    <xf numFmtId="0" fontId="0" fillId="24" borderId="0" xfId="0" applyFill="1"/>
    <xf numFmtId="0" fontId="0" fillId="24" borderId="0" xfId="0" applyFill="1" applyAlignment="1">
      <alignment horizontal="left"/>
    </xf>
    <xf numFmtId="0" fontId="0" fillId="0" borderId="70" xfId="0" applyBorder="1" applyAlignment="1">
      <alignment horizontal="center" vertical="center"/>
    </xf>
    <xf numFmtId="0" fontId="0" fillId="23" borderId="70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1" fontId="4" fillId="26" borderId="72" xfId="0" applyNumberFormat="1" applyFont="1" applyFill="1" applyBorder="1" applyAlignment="1">
      <alignment horizontal="center"/>
    </xf>
    <xf numFmtId="0" fontId="4" fillId="26" borderId="71" xfId="0" applyFont="1" applyFill="1" applyBorder="1" applyAlignment="1">
      <alignment horizontal="center"/>
    </xf>
    <xf numFmtId="0" fontId="0" fillId="20" borderId="1" xfId="0" applyFill="1" applyBorder="1" applyAlignment="1">
      <alignment vertical="center"/>
    </xf>
    <xf numFmtId="0" fontId="0" fillId="0" borderId="70" xfId="0" applyBorder="1"/>
    <xf numFmtId="0" fontId="2" fillId="0" borderId="73" xfId="0" applyFont="1" applyBorder="1" applyAlignment="1">
      <alignment horizontal="center"/>
    </xf>
    <xf numFmtId="0" fontId="4" fillId="2" borderId="74" xfId="0" applyFont="1" applyFill="1" applyBorder="1" applyAlignment="1">
      <alignment horizontal="center" vertical="center"/>
    </xf>
    <xf numFmtId="0" fontId="0" fillId="0" borderId="76" xfId="0" applyBorder="1" applyAlignment="1">
      <alignment vertical="center"/>
    </xf>
    <xf numFmtId="0" fontId="4" fillId="2" borderId="75" xfId="0" applyFont="1" applyFill="1" applyBorder="1" applyAlignment="1">
      <alignment horizontal="right" vertical="center"/>
    </xf>
    <xf numFmtId="0" fontId="0" fillId="6" borderId="0" xfId="0" applyFill="1"/>
    <xf numFmtId="165" fontId="0" fillId="6" borderId="0" xfId="0" applyNumberFormat="1" applyFill="1"/>
    <xf numFmtId="0" fontId="0" fillId="6" borderId="1" xfId="0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6" borderId="79" xfId="0" applyFill="1" applyBorder="1" applyAlignment="1">
      <alignment horizontal="center" vertical="center"/>
    </xf>
    <xf numFmtId="1" fontId="0" fillId="6" borderId="80" xfId="2" applyNumberFormat="1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vertical="center"/>
    </xf>
    <xf numFmtId="0" fontId="16" fillId="28" borderId="1" xfId="0" applyFont="1" applyFill="1" applyBorder="1" applyAlignment="1">
      <alignment horizontal="center" wrapText="1"/>
    </xf>
    <xf numFmtId="0" fontId="24" fillId="28" borderId="1" xfId="0" applyFont="1" applyFill="1" applyBorder="1" applyAlignment="1">
      <alignment horizontal="center" vertical="center"/>
    </xf>
    <xf numFmtId="0" fontId="17" fillId="25" borderId="77" xfId="0" applyFont="1" applyFill="1" applyBorder="1" applyAlignment="1">
      <alignment horizontal="center" vertical="center"/>
    </xf>
    <xf numFmtId="0" fontId="17" fillId="25" borderId="78" xfId="0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0" fontId="18" fillId="21" borderId="1" xfId="0" applyFont="1" applyFill="1" applyBorder="1" applyAlignment="1">
      <alignment horizontal="center" vertical="center" wrapText="1"/>
    </xf>
    <xf numFmtId="0" fontId="0" fillId="0" borderId="81" xfId="0" applyBorder="1" applyAlignment="1">
      <alignment vertical="center"/>
    </xf>
    <xf numFmtId="0" fontId="0" fillId="21" borderId="85" xfId="0" applyFill="1" applyBorder="1" applyAlignment="1">
      <alignment horizontal="center" vertical="center"/>
    </xf>
    <xf numFmtId="0" fontId="0" fillId="21" borderId="86" xfId="0" applyFill="1" applyBorder="1" applyAlignment="1">
      <alignment horizontal="center" vertical="center"/>
    </xf>
    <xf numFmtId="0" fontId="0" fillId="21" borderId="87" xfId="0" applyFill="1" applyBorder="1" applyAlignment="1">
      <alignment horizontal="center" vertical="center"/>
    </xf>
    <xf numFmtId="0" fontId="0" fillId="0" borderId="84" xfId="0" applyBorder="1" applyAlignment="1">
      <alignment vertical="center"/>
    </xf>
    <xf numFmtId="1" fontId="0" fillId="6" borderId="1" xfId="0" applyNumberFormat="1" applyFill="1" applyBorder="1" applyAlignment="1">
      <alignment horizontal="center" vertical="center"/>
    </xf>
    <xf numFmtId="0" fontId="18" fillId="7" borderId="43" xfId="0" applyFont="1" applyFill="1" applyBorder="1" applyAlignment="1">
      <alignment horizontal="center" vertical="center" wrapText="1"/>
    </xf>
    <xf numFmtId="1" fontId="19" fillId="0" borderId="43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37" xfId="0" applyNumberFormat="1" applyFont="1" applyBorder="1" applyAlignment="1">
      <alignment horizontal="center" vertical="center"/>
    </xf>
    <xf numFmtId="0" fontId="19" fillId="24" borderId="4" xfId="0" applyFont="1" applyFill="1" applyBorder="1" applyAlignment="1">
      <alignment vertical="center"/>
    </xf>
    <xf numFmtId="0" fontId="19" fillId="0" borderId="4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1" fontId="4" fillId="7" borderId="37" xfId="0" applyNumberFormat="1" applyFont="1" applyFill="1" applyBorder="1" applyAlignment="1">
      <alignment horizontal="center" vertical="center"/>
    </xf>
    <xf numFmtId="0" fontId="0" fillId="9" borderId="0" xfId="0" applyFill="1"/>
    <xf numFmtId="0" fontId="0" fillId="8" borderId="0" xfId="0" applyFill="1"/>
    <xf numFmtId="0" fontId="0" fillId="10" borderId="0" xfId="0" applyFill="1"/>
    <xf numFmtId="0" fontId="0" fillId="0" borderId="81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27" borderId="0" xfId="0" applyFill="1"/>
    <xf numFmtId="0" fontId="11" fillId="27" borderId="0" xfId="0" applyFont="1" applyFill="1" applyAlignment="1">
      <alignment vertical="center"/>
    </xf>
    <xf numFmtId="0" fontId="19" fillId="0" borderId="0" xfId="0" applyFont="1"/>
    <xf numFmtId="0" fontId="13" fillId="0" borderId="0" xfId="0" applyFont="1" applyAlignment="1">
      <alignment vertical="center"/>
    </xf>
    <xf numFmtId="0" fontId="0" fillId="21" borderId="57" xfId="0" applyFill="1" applyBorder="1" applyAlignment="1">
      <alignment horizontal="center" vertical="center"/>
    </xf>
    <xf numFmtId="0" fontId="0" fillId="21" borderId="91" xfId="0" applyFill="1" applyBorder="1" applyAlignment="1">
      <alignment horizontal="center" vertical="center"/>
    </xf>
    <xf numFmtId="0" fontId="0" fillId="0" borderId="92" xfId="0" applyBorder="1" applyAlignment="1">
      <alignment vertical="center"/>
    </xf>
    <xf numFmtId="0" fontId="0" fillId="0" borderId="92" xfId="0" applyBorder="1" applyAlignment="1">
      <alignment horizontal="center" vertical="center"/>
    </xf>
    <xf numFmtId="0" fontId="0" fillId="21" borderId="56" xfId="0" applyFill="1" applyBorder="1" applyAlignment="1">
      <alignment horizontal="center" vertical="center"/>
    </xf>
    <xf numFmtId="1" fontId="24" fillId="28" borderId="1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2" fillId="4" borderId="69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23" fillId="0" borderId="68" xfId="0" applyFont="1" applyBorder="1" applyAlignment="1">
      <alignment horizontal="left" vertical="center" wrapText="1"/>
    </xf>
    <xf numFmtId="0" fontId="23" fillId="0" borderId="61" xfId="0" applyFont="1" applyBorder="1" applyAlignment="1">
      <alignment horizontal="left" vertical="center" wrapText="1"/>
    </xf>
    <xf numFmtId="0" fontId="23" fillId="0" borderId="66" xfId="0" applyFont="1" applyBorder="1" applyAlignment="1">
      <alignment horizontal="left" vertical="center" wrapText="1"/>
    </xf>
    <xf numFmtId="0" fontId="21" fillId="26" borderId="58" xfId="0" applyFont="1" applyFill="1" applyBorder="1" applyAlignment="1">
      <alignment horizontal="center" vertical="center"/>
    </xf>
    <xf numFmtId="0" fontId="21" fillId="26" borderId="67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0" fillId="0" borderId="88" xfId="0" applyBorder="1" applyAlignment="1">
      <alignment vertical="center" wrapText="1"/>
    </xf>
    <xf numFmtId="0" fontId="0" fillId="0" borderId="89" xfId="0" applyBorder="1" applyAlignment="1">
      <alignment vertical="center" wrapText="1"/>
    </xf>
    <xf numFmtId="0" fontId="0" fillId="0" borderId="90" xfId="0" applyBorder="1" applyAlignment="1">
      <alignment vertical="center" wrapText="1"/>
    </xf>
    <xf numFmtId="0" fontId="0" fillId="0" borderId="92" xfId="0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textRotation="90"/>
    </xf>
    <xf numFmtId="0" fontId="7" fillId="15" borderId="6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7" fillId="15" borderId="44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9" fontId="4" fillId="17" borderId="42" xfId="0" applyNumberFormat="1" applyFont="1" applyFill="1" applyBorder="1" applyAlignment="1">
      <alignment horizontal="center" vertical="center"/>
    </xf>
    <xf numFmtId="0" fontId="4" fillId="17" borderId="5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9" fontId="9" fillId="4" borderId="14" xfId="0" applyNumberFormat="1" applyFont="1" applyFill="1" applyBorder="1" applyAlignment="1">
      <alignment horizontal="center" vertical="center"/>
    </xf>
    <xf numFmtId="9" fontId="9" fillId="4" borderId="15" xfId="0" applyNumberFormat="1" applyFont="1" applyFill="1" applyBorder="1" applyAlignment="1">
      <alignment horizontal="center" vertical="center"/>
    </xf>
    <xf numFmtId="9" fontId="9" fillId="4" borderId="16" xfId="0" applyNumberFormat="1" applyFont="1" applyFill="1" applyBorder="1" applyAlignment="1">
      <alignment horizontal="center" vertical="center"/>
    </xf>
    <xf numFmtId="9" fontId="9" fillId="4" borderId="17" xfId="0" applyNumberFormat="1" applyFont="1" applyFill="1" applyBorder="1" applyAlignment="1">
      <alignment horizontal="center" vertical="center"/>
    </xf>
    <xf numFmtId="9" fontId="4" fillId="16" borderId="33" xfId="0" applyNumberFormat="1" applyFont="1" applyFill="1" applyBorder="1" applyAlignment="1">
      <alignment horizontal="center" vertical="center"/>
    </xf>
    <xf numFmtId="0" fontId="4" fillId="16" borderId="34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18" borderId="22" xfId="0" applyFont="1" applyFill="1" applyBorder="1" applyAlignment="1">
      <alignment horizontal="center" vertical="center" wrapText="1"/>
    </xf>
    <xf numFmtId="0" fontId="4" fillId="18" borderId="20" xfId="0" applyFont="1" applyFill="1" applyBorder="1" applyAlignment="1">
      <alignment horizontal="center" vertical="center" wrapText="1"/>
    </xf>
    <xf numFmtId="0" fontId="4" fillId="18" borderId="21" xfId="0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4" fillId="18" borderId="25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horizontal="center" vertical="center" wrapText="1"/>
    </xf>
    <xf numFmtId="9" fontId="4" fillId="16" borderId="4" xfId="0" applyNumberFormat="1" applyFont="1" applyFill="1" applyBorder="1" applyAlignment="1">
      <alignment horizontal="center" vertical="center"/>
    </xf>
    <xf numFmtId="9" fontId="4" fillId="16" borderId="45" xfId="0" applyNumberFormat="1" applyFont="1" applyFill="1" applyBorder="1" applyAlignment="1">
      <alignment horizontal="center" vertical="center"/>
    </xf>
    <xf numFmtId="9" fontId="4" fillId="16" borderId="40" xfId="0" applyNumberFormat="1" applyFont="1" applyFill="1" applyBorder="1" applyAlignment="1">
      <alignment horizontal="center" vertical="center"/>
    </xf>
    <xf numFmtId="9" fontId="4" fillId="17" borderId="43" xfId="0" applyNumberFormat="1" applyFont="1" applyFill="1" applyBorder="1" applyAlignment="1">
      <alignment horizontal="center" vertical="center"/>
    </xf>
    <xf numFmtId="0" fontId="4" fillId="17" borderId="37" xfId="0" applyFont="1" applyFill="1" applyBorder="1" applyAlignment="1">
      <alignment horizontal="center" vertical="center"/>
    </xf>
    <xf numFmtId="164" fontId="13" fillId="17" borderId="60" xfId="1" applyFont="1" applyFill="1" applyBorder="1" applyAlignment="1">
      <alignment horizontal="center" vertical="center"/>
    </xf>
    <xf numFmtId="164" fontId="13" fillId="17" borderId="62" xfId="1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164" fontId="4" fillId="17" borderId="0" xfId="1" applyFont="1" applyFill="1" applyBorder="1" applyAlignment="1">
      <alignment horizontal="center" vertical="center"/>
    </xf>
    <xf numFmtId="164" fontId="4" fillId="17" borderId="51" xfId="1" applyFont="1" applyFill="1" applyBorder="1" applyAlignment="1">
      <alignment horizontal="center" vertical="center"/>
    </xf>
    <xf numFmtId="0" fontId="4" fillId="6" borderId="65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4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67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164" fontId="13" fillId="16" borderId="41" xfId="1" applyFont="1" applyFill="1" applyBorder="1" applyAlignment="1">
      <alignment horizontal="center" vertical="center"/>
    </xf>
    <xf numFmtId="164" fontId="13" fillId="16" borderId="55" xfId="1" applyFont="1" applyFill="1" applyBorder="1" applyAlignment="1">
      <alignment horizontal="center" vertical="center"/>
    </xf>
    <xf numFmtId="0" fontId="8" fillId="15" borderId="44" xfId="0" applyFont="1" applyFill="1" applyBorder="1" applyAlignment="1">
      <alignment horizontal="center" vertical="center"/>
    </xf>
    <xf numFmtId="0" fontId="8" fillId="15" borderId="9" xfId="0" applyFont="1" applyFill="1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9" fontId="14" fillId="4" borderId="15" xfId="0" applyNumberFormat="1" applyFont="1" applyFill="1" applyBorder="1" applyAlignment="1">
      <alignment horizontal="center" vertical="center"/>
    </xf>
    <xf numFmtId="9" fontId="14" fillId="4" borderId="16" xfId="0" applyNumberFormat="1" applyFont="1" applyFill="1" applyBorder="1" applyAlignment="1">
      <alignment horizontal="center" vertical="center"/>
    </xf>
    <xf numFmtId="9" fontId="14" fillId="4" borderId="17" xfId="0" applyNumberFormat="1" applyFont="1" applyFill="1" applyBorder="1" applyAlignment="1">
      <alignment horizontal="center" vertical="center"/>
    </xf>
    <xf numFmtId="9" fontId="14" fillId="4" borderId="14" xfId="0" applyNumberFormat="1" applyFont="1" applyFill="1" applyBorder="1" applyAlignment="1">
      <alignment horizontal="center" vertical="center"/>
    </xf>
    <xf numFmtId="164" fontId="4" fillId="17" borderId="56" xfId="1" applyFont="1" applyFill="1" applyBorder="1" applyAlignment="1">
      <alignment horizontal="center" vertical="center"/>
    </xf>
    <xf numFmtId="164" fontId="4" fillId="17" borderId="59" xfId="1" applyFont="1" applyFill="1" applyBorder="1" applyAlignment="1">
      <alignment horizontal="center" vertical="center"/>
    </xf>
    <xf numFmtId="0" fontId="4" fillId="18" borderId="32" xfId="0" applyFont="1" applyFill="1" applyBorder="1" applyAlignment="1">
      <alignment horizontal="center" vertical="center" wrapText="1"/>
    </xf>
    <xf numFmtId="0" fontId="4" fillId="18" borderId="30" xfId="0" applyFont="1" applyFill="1" applyBorder="1" applyAlignment="1">
      <alignment horizontal="center" vertical="center" wrapText="1"/>
    </xf>
    <xf numFmtId="0" fontId="4" fillId="18" borderId="31" xfId="0" applyFont="1" applyFill="1" applyBorder="1" applyAlignment="1">
      <alignment horizontal="center" vertical="center" wrapText="1"/>
    </xf>
    <xf numFmtId="164" fontId="13" fillId="16" borderId="45" xfId="1" applyFont="1" applyFill="1" applyBorder="1" applyAlignment="1">
      <alignment horizontal="center" vertical="center"/>
    </xf>
    <xf numFmtId="164" fontId="13" fillId="16" borderId="40" xfId="1" applyFont="1" applyFill="1" applyBorder="1" applyAlignment="1">
      <alignment horizontal="center" vertical="center"/>
    </xf>
    <xf numFmtId="164" fontId="13" fillId="16" borderId="3" xfId="1" applyFont="1" applyFill="1" applyBorder="1" applyAlignment="1">
      <alignment horizontal="center" vertical="center"/>
    </xf>
    <xf numFmtId="164" fontId="13" fillId="16" borderId="53" xfId="1" applyFont="1" applyFill="1" applyBorder="1" applyAlignment="1">
      <alignment horizontal="center" vertical="center"/>
    </xf>
    <xf numFmtId="164" fontId="4" fillId="17" borderId="63" xfId="1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164" fontId="13" fillId="16" borderId="25" xfId="1" applyFont="1" applyFill="1" applyBorder="1" applyAlignment="1">
      <alignment horizontal="center" vertical="center"/>
    </xf>
    <xf numFmtId="164" fontId="13" fillId="16" borderId="31" xfId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00"/>
      <color rgb="FF33CC33"/>
      <color rgb="FF87E18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65741649342282"/>
          <c:y val="0.11120326511032158"/>
          <c:w val="0.57270896890931489"/>
          <c:h val="0.8887967348896783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0E5-4ACA-9A26-8EBBADD24BA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5-4ACA-9A26-8EBBADD24B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0E5-4ACA-9A26-8EBBADD24BA1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0E5-4ACA-9A26-8EBBADD24BA1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5-4ACA-9A26-8EBBADD24BA1}"/>
              </c:ext>
            </c:extLst>
          </c:dPt>
          <c:val>
            <c:numRef>
              <c:f>'Scoring Interno'!$J$4:$N$4</c:f>
              <c:numCache>
                <c:formatCode>;;;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5-4ACA-9A26-8EBBADD24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Aguja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E5-4ACA-9A26-8EBBADD24BA1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C-70E5-4ACA-9A26-8EBBADD24BA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0E5-4ACA-9A26-8EBBADD24BA1}"/>
              </c:ext>
            </c:extLst>
          </c:dPt>
          <c:val>
            <c:numRef>
              <c:f>'Scoring Interno'!$F$4:$H$4</c:f>
              <c:numCache>
                <c:formatCode>;;;</c:formatCode>
                <c:ptCount val="3"/>
                <c:pt idx="0" formatCode="0">
                  <c:v>79.230769230769226</c:v>
                </c:pt>
                <c:pt idx="1">
                  <c:v>3</c:v>
                </c:pt>
                <c:pt idx="2">
                  <c:v>117.76923076923077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0E5-4ACA-9A26-8EBBADD24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631031</xdr:colOff>
      <xdr:row>6</xdr:row>
      <xdr:rowOff>46943</xdr:rowOff>
    </xdr:from>
    <xdr:to>
      <xdr:col>8</xdr:col>
      <xdr:colOff>333375</xdr:colOff>
      <xdr:row>17</xdr:row>
      <xdr:rowOff>57830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304460</xdr:colOff>
      <xdr:row>7</xdr:row>
      <xdr:rowOff>179955</xdr:rowOff>
    </xdr:from>
    <xdr:to>
      <xdr:col>4</xdr:col>
      <xdr:colOff>988219</xdr:colOff>
      <xdr:row>8</xdr:row>
      <xdr:rowOff>332241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412741" y="1858736"/>
          <a:ext cx="683759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6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25%</a:t>
          </a:r>
        </a:p>
      </xdr:txBody>
    </xdr:sp>
    <xdr:clientData/>
  </xdr:twoCellAnchor>
  <xdr:twoCellAnchor>
    <xdr:from>
      <xdr:col>4</xdr:col>
      <xdr:colOff>1309007</xdr:colOff>
      <xdr:row>6</xdr:row>
      <xdr:rowOff>24834</xdr:rowOff>
    </xdr:from>
    <xdr:to>
      <xdr:col>5</xdr:col>
      <xdr:colOff>68650</xdr:colOff>
      <xdr:row>7</xdr:row>
      <xdr:rowOff>177120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417288" y="1513115"/>
          <a:ext cx="688456" cy="34278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6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50%</a:t>
          </a:r>
        </a:p>
      </xdr:txBody>
    </xdr:sp>
    <xdr:clientData/>
  </xdr:twoCellAnchor>
  <xdr:twoCellAnchor>
    <xdr:from>
      <xdr:col>5</xdr:col>
      <xdr:colOff>346982</xdr:colOff>
      <xdr:row>8</xdr:row>
      <xdr:rowOff>22110</xdr:rowOff>
    </xdr:from>
    <xdr:to>
      <xdr:col>5</xdr:col>
      <xdr:colOff>1035436</xdr:colOff>
      <xdr:row>8</xdr:row>
      <xdr:rowOff>297655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384076" y="1891391"/>
          <a:ext cx="688454" cy="27554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S" sz="16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75%</a:t>
          </a:r>
        </a:p>
      </xdr:txBody>
    </xdr:sp>
    <xdr:clientData/>
  </xdr:twoCellAnchor>
  <xdr:twoCellAnchor>
    <xdr:from>
      <xdr:col>3</xdr:col>
      <xdr:colOff>164986</xdr:colOff>
      <xdr:row>13</xdr:row>
      <xdr:rowOff>6803</xdr:rowOff>
    </xdr:from>
    <xdr:to>
      <xdr:col>9</xdr:col>
      <xdr:colOff>1166813</xdr:colOff>
      <xdr:row>18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868455" y="3209584"/>
          <a:ext cx="6478702" cy="993322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El</a:t>
          </a:r>
          <a:r>
            <a:rPr lang="en-US" sz="1400" baseline="0"/>
            <a:t> objetivo es que el otorgamiento cumpla con el score de 1300 que representa el 100% de cumplimiento en los requisitos , en caso de que algun requisito no se cumple totalmente, el % asignado sera menor al 100%, por lo que el Scoring de solvencia disminuira y con ello el % de avance, asi nos marcara el en que cubeta de riesgo caera.</a:t>
          </a:r>
          <a:endParaRPr lang="en-US" sz="14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0.6399</cdr:x>
      <cdr:y>0.49548</cdr:y>
    </cdr:from>
    <cdr:to>
      <cdr:x>0.77312</cdr:x>
      <cdr:y>0.63329</cdr:y>
    </cdr:to>
    <cdr:sp macro="" textlink="">
      <cdr:nvSpPr>
        <cdr:cNvPr id="2" name="Rectángulo 1"/>
        <cdr:cNvSpPr/>
      </cdr:nvSpPr>
      <cdr:spPr>
        <a:xfrm xmlns:a="http://schemas.openxmlformats.org/drawingml/2006/main">
          <a:off x="4289403" y="1232448"/>
          <a:ext cx="892971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lIns="91440" tIns="45720" rIns="91440" bIns="4572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6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100%</a:t>
          </a:r>
        </a:p>
      </cdr:txBody>
    </cdr:sp>
  </cdr:relSizeAnchor>
  <cdr:relSizeAnchor xmlns:cdr="http://schemas.openxmlformats.org/drawingml/2006/chartDrawing">
    <cdr:from>
      <cdr:x>0.28164</cdr:x>
      <cdr:y>0.46956</cdr:y>
    </cdr:from>
    <cdr:to>
      <cdr:x>0.34702</cdr:x>
      <cdr:y>0.60737</cdr:y>
    </cdr:to>
    <cdr:sp macro="" textlink="">
      <cdr:nvSpPr>
        <cdr:cNvPr id="3" name="Rectángulo 2"/>
        <cdr:cNvSpPr/>
      </cdr:nvSpPr>
      <cdr:spPr>
        <a:xfrm xmlns:a="http://schemas.openxmlformats.org/drawingml/2006/main">
          <a:off x="1887887" y="1167978"/>
          <a:ext cx="438262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lIns="91440" tIns="45720" rIns="91440" bIns="4572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600" b="1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0%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showGridLines="0" zoomScale="80" zoomScaleNormal="80" workbookViewId="0">
      <selection activeCell="A22" sqref="A22"/>
    </sheetView>
  </sheetViews>
  <sheetFormatPr baseColWidth="10" defaultColWidth="0" defaultRowHeight="15" zeroHeight="1" x14ac:dyDescent="0.25"/>
  <cols>
    <col min="1" max="1" width="100.85546875" customWidth="1"/>
    <col min="2" max="2" width="14.85546875" bestFit="1" customWidth="1"/>
    <col min="3" max="3" width="14.85546875" customWidth="1"/>
    <col min="4" max="4" width="6" customWidth="1"/>
    <col min="5" max="5" width="29" customWidth="1"/>
    <col min="6" max="6" width="17.5703125" customWidth="1"/>
    <col min="7" max="8" width="11.42578125" customWidth="1"/>
    <col min="9" max="9" width="6.7109375" customWidth="1"/>
    <col min="10" max="10" width="19.140625" customWidth="1"/>
    <col min="11" max="11" width="2.7109375" customWidth="1"/>
    <col min="12" max="12" width="2.5703125" customWidth="1"/>
    <col min="13" max="13" width="2.7109375" customWidth="1"/>
    <col min="14" max="14" width="2.85546875" customWidth="1"/>
    <col min="15" max="17" width="3.28515625" customWidth="1"/>
    <col min="18" max="16384" width="11.42578125" hidden="1"/>
  </cols>
  <sheetData>
    <row r="1" spans="1:17" ht="24" thickBot="1" x14ac:dyDescent="0.4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06"/>
      <c r="L1" s="106"/>
      <c r="M1" s="106"/>
      <c r="N1" s="106"/>
      <c r="O1" s="106"/>
      <c r="P1" s="106"/>
      <c r="Q1" s="106"/>
    </row>
    <row r="2" spans="1:17" ht="16.5" thickTop="1" thickBot="1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7" t="s">
        <v>17</v>
      </c>
      <c r="K2" s="107"/>
      <c r="L2" s="107"/>
      <c r="M2" s="107"/>
      <c r="N2" s="107"/>
      <c r="O2" s="106"/>
      <c r="P2" s="106"/>
      <c r="Q2" s="106"/>
    </row>
    <row r="3" spans="1:17" ht="30" x14ac:dyDescent="0.25">
      <c r="A3" s="115" t="s">
        <v>7</v>
      </c>
      <c r="B3" s="116" t="s">
        <v>8</v>
      </c>
      <c r="C3" s="121" t="s">
        <v>122</v>
      </c>
      <c r="D3" s="106"/>
      <c r="E3" s="118" t="s">
        <v>13</v>
      </c>
      <c r="F3" s="119" t="s">
        <v>14</v>
      </c>
      <c r="G3" s="109" t="s">
        <v>15</v>
      </c>
      <c r="H3" s="109" t="s">
        <v>16</v>
      </c>
      <c r="I3" s="106"/>
      <c r="J3" s="109" t="s">
        <v>20</v>
      </c>
      <c r="K3" s="120" t="s">
        <v>21</v>
      </c>
      <c r="L3" s="120" t="s">
        <v>43</v>
      </c>
      <c r="M3" s="120" t="s">
        <v>22</v>
      </c>
      <c r="N3" s="120" t="s">
        <v>18</v>
      </c>
      <c r="O3" s="106"/>
      <c r="P3" s="106"/>
      <c r="Q3" s="106"/>
    </row>
    <row r="4" spans="1:17" ht="15.75" thickBot="1" x14ac:dyDescent="0.3">
      <c r="A4" s="110" t="s">
        <v>131</v>
      </c>
      <c r="B4" s="108">
        <v>100</v>
      </c>
      <c r="C4" s="127">
        <f>'Sub variables gral'!E5</f>
        <v>100</v>
      </c>
      <c r="D4" s="106"/>
      <c r="E4" s="113">
        <v>1300</v>
      </c>
      <c r="F4" s="114">
        <f>(C17/E4)*100</f>
        <v>79.230769230769226</v>
      </c>
      <c r="G4" s="109">
        <v>3</v>
      </c>
      <c r="H4" s="109">
        <f>SUM(J4:N4)-F4-G4</f>
        <v>117.76923076923077</v>
      </c>
      <c r="I4" s="106"/>
      <c r="J4" s="109">
        <v>25</v>
      </c>
      <c r="K4" s="109">
        <v>25</v>
      </c>
      <c r="L4" s="109">
        <v>25</v>
      </c>
      <c r="M4" s="109">
        <v>25</v>
      </c>
      <c r="N4" s="109">
        <f>SUM(J4:M4)</f>
        <v>100</v>
      </c>
      <c r="O4" s="106"/>
      <c r="P4" s="106"/>
      <c r="Q4" s="106"/>
    </row>
    <row r="5" spans="1:17" x14ac:dyDescent="0.25">
      <c r="A5" s="110" t="s">
        <v>56</v>
      </c>
      <c r="B5" s="108">
        <v>100</v>
      </c>
      <c r="C5" s="108">
        <f>'Sub variables catalogo'!C7</f>
        <v>100</v>
      </c>
      <c r="D5" s="106"/>
      <c r="E5" s="106"/>
      <c r="F5" s="106"/>
      <c r="G5" s="106"/>
      <c r="H5" s="106"/>
      <c r="I5" s="138"/>
      <c r="J5" s="106" t="s">
        <v>130</v>
      </c>
      <c r="K5" s="106"/>
      <c r="L5" s="106"/>
      <c r="M5" s="106"/>
      <c r="N5" s="106"/>
      <c r="O5" s="106"/>
      <c r="P5" s="106"/>
      <c r="Q5" s="106"/>
    </row>
    <row r="6" spans="1:17" x14ac:dyDescent="0.25">
      <c r="A6" s="110" t="s">
        <v>60</v>
      </c>
      <c r="B6" s="108">
        <v>100</v>
      </c>
      <c r="C6" s="108">
        <f>'Sub variables catalogo'!I8</f>
        <v>100</v>
      </c>
      <c r="D6" s="106"/>
      <c r="E6" s="106"/>
      <c r="F6" s="106"/>
      <c r="G6" s="106"/>
      <c r="H6" s="106"/>
      <c r="I6" s="79"/>
      <c r="J6" s="106" t="s">
        <v>127</v>
      </c>
      <c r="K6" s="106"/>
      <c r="L6" s="106"/>
      <c r="M6" s="106"/>
      <c r="N6" s="106"/>
      <c r="O6" s="106"/>
      <c r="P6" s="106"/>
      <c r="Q6" s="106"/>
    </row>
    <row r="7" spans="1:17" x14ac:dyDescent="0.25">
      <c r="A7" s="110" t="s">
        <v>68</v>
      </c>
      <c r="B7" s="108">
        <v>100</v>
      </c>
      <c r="C7" s="108">
        <f>'Sub variables gral'!E9</f>
        <v>100</v>
      </c>
      <c r="D7" s="106"/>
      <c r="E7" s="106"/>
      <c r="F7" s="106"/>
      <c r="G7" s="106"/>
      <c r="H7" s="106"/>
      <c r="I7" s="137"/>
      <c r="J7" s="106" t="s">
        <v>128</v>
      </c>
      <c r="K7" s="106"/>
      <c r="L7" s="106"/>
      <c r="M7" s="106"/>
      <c r="N7" s="106"/>
      <c r="O7" s="106"/>
      <c r="P7" s="106"/>
      <c r="Q7" s="106"/>
    </row>
    <row r="8" spans="1:17" x14ac:dyDescent="0.25">
      <c r="A8" s="110" t="s">
        <v>57</v>
      </c>
      <c r="B8" s="108">
        <v>100</v>
      </c>
      <c r="C8" s="108">
        <f>'Sub variables gral'!E13</f>
        <v>100</v>
      </c>
      <c r="D8" s="106"/>
      <c r="E8" s="106"/>
      <c r="F8" s="106"/>
      <c r="G8" s="106"/>
      <c r="H8" s="106"/>
      <c r="I8" s="139"/>
      <c r="J8" s="106" t="s">
        <v>129</v>
      </c>
      <c r="K8" s="106"/>
      <c r="L8" s="106"/>
      <c r="M8" s="106"/>
      <c r="N8" s="106"/>
      <c r="O8" s="106"/>
      <c r="P8" s="106"/>
      <c r="Q8" s="106"/>
    </row>
    <row r="9" spans="1:17" ht="30" x14ac:dyDescent="0.25">
      <c r="A9" s="110" t="s">
        <v>87</v>
      </c>
      <c r="B9" s="108">
        <v>100</v>
      </c>
      <c r="C9" s="108">
        <f>'Sub variables gral'!E19</f>
        <v>90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</row>
    <row r="10" spans="1:17" x14ac:dyDescent="0.25">
      <c r="A10" s="111" t="s">
        <v>61</v>
      </c>
      <c r="B10" s="108">
        <v>100</v>
      </c>
      <c r="C10" s="108">
        <f>'Sub variables gral'!E26</f>
        <v>50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x14ac:dyDescent="0.25">
      <c r="A11" s="112" t="s">
        <v>62</v>
      </c>
      <c r="B11" s="108">
        <v>100</v>
      </c>
      <c r="C11" s="108">
        <f>'Sub variables gral'!E29</f>
        <v>100</v>
      </c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</row>
    <row r="12" spans="1:17" ht="30" x14ac:dyDescent="0.25">
      <c r="A12" s="112" t="s">
        <v>63</v>
      </c>
      <c r="B12" s="108">
        <v>100</v>
      </c>
      <c r="C12" s="108">
        <f>'Sub variables Buro'!E11</f>
        <v>90</v>
      </c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</row>
    <row r="13" spans="1:17" x14ac:dyDescent="0.25">
      <c r="A13" s="111" t="s">
        <v>64</v>
      </c>
      <c r="B13" s="108">
        <v>100</v>
      </c>
      <c r="C13" s="108">
        <f>'Sub variables gral'!E32</f>
        <v>100</v>
      </c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</row>
    <row r="14" spans="1:17" x14ac:dyDescent="0.25">
      <c r="A14" s="112" t="s">
        <v>65</v>
      </c>
      <c r="B14" s="108">
        <v>100</v>
      </c>
      <c r="C14" s="108">
        <f>'Sub variables gral'!E35</f>
        <v>0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</row>
    <row r="15" spans="1:17" x14ac:dyDescent="0.25">
      <c r="A15" s="111" t="s">
        <v>66</v>
      </c>
      <c r="B15" s="108">
        <v>100</v>
      </c>
      <c r="C15" s="108">
        <f>'Sub variables gral'!E38</f>
        <v>100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</row>
    <row r="16" spans="1:17" x14ac:dyDescent="0.25">
      <c r="A16" s="112" t="s">
        <v>67</v>
      </c>
      <c r="B16" s="108">
        <v>100</v>
      </c>
      <c r="C16" s="108">
        <f>'Sub variables gral'!E41</f>
        <v>0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</row>
    <row r="17" spans="1:17" ht="18.75" x14ac:dyDescent="0.25">
      <c r="A17" s="115" t="s">
        <v>19</v>
      </c>
      <c r="B17" s="117">
        <f>SUM(B4:B16)</f>
        <v>1300</v>
      </c>
      <c r="C17" s="151">
        <f>SUM(C4:C16)</f>
        <v>1030</v>
      </c>
    </row>
    <row r="18" spans="1:17" x14ac:dyDescent="0.25"/>
    <row r="19" spans="1:17" x14ac:dyDescent="0.25"/>
    <row r="20" spans="1:17" x14ac:dyDescent="0.25"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</row>
    <row r="21" spans="1:17" x14ac:dyDescent="0.25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</row>
    <row r="22" spans="1:17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</row>
    <row r="23" spans="1:17" x14ac:dyDescent="0.25"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</row>
    <row r="24" spans="1:17" x14ac:dyDescent="0.25"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</row>
    <row r="25" spans="1:17" x14ac:dyDescent="0.25"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</row>
  </sheetData>
  <mergeCells count="1">
    <mergeCell ref="A1:J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showGridLines="0" zoomScale="80" zoomScaleNormal="80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E2" sqref="E2"/>
    </sheetView>
  </sheetViews>
  <sheetFormatPr baseColWidth="10" defaultRowHeight="15" x14ac:dyDescent="0.25"/>
  <cols>
    <col min="1" max="1" width="47.28515625" customWidth="1"/>
    <col min="2" max="2" width="65.28515625" customWidth="1"/>
    <col min="3" max="3" width="12.140625" customWidth="1"/>
    <col min="4" max="4" width="21.140625" customWidth="1"/>
    <col min="5" max="5" width="18.5703125" customWidth="1"/>
    <col min="6" max="6" width="8.140625" customWidth="1"/>
    <col min="7" max="7" width="19.28515625" customWidth="1"/>
    <col min="8" max="8" width="64" customWidth="1"/>
  </cols>
  <sheetData>
    <row r="1" spans="1:10" ht="18.75" x14ac:dyDescent="0.3">
      <c r="A1" s="153" t="s">
        <v>112</v>
      </c>
      <c r="B1" s="153"/>
      <c r="C1" s="153"/>
      <c r="E1" s="99" t="s">
        <v>111</v>
      </c>
    </row>
    <row r="2" spans="1:10" ht="19.5" thickBot="1" x14ac:dyDescent="0.35">
      <c r="A2" s="154"/>
      <c r="B2" s="154"/>
      <c r="C2" s="154"/>
      <c r="E2" s="98">
        <f>E43</f>
        <v>740</v>
      </c>
    </row>
    <row r="3" spans="1:10" ht="15.75" thickTop="1" x14ac:dyDescent="0.25"/>
    <row r="4" spans="1:10" ht="30" x14ac:dyDescent="0.25">
      <c r="A4" s="80" t="s">
        <v>7</v>
      </c>
      <c r="B4" s="80" t="s">
        <v>69</v>
      </c>
      <c r="C4" s="89" t="s">
        <v>94</v>
      </c>
      <c r="D4" s="80" t="s">
        <v>73</v>
      </c>
      <c r="E4" s="128" t="s">
        <v>110</v>
      </c>
    </row>
    <row r="5" spans="1:10" ht="15" customHeight="1" x14ac:dyDescent="0.25">
      <c r="A5" s="155" t="s">
        <v>55</v>
      </c>
      <c r="B5" s="6" t="s">
        <v>72</v>
      </c>
      <c r="C5" s="87">
        <v>100</v>
      </c>
      <c r="D5" s="95" t="s">
        <v>74</v>
      </c>
      <c r="E5" s="129">
        <f>C5</f>
        <v>100</v>
      </c>
      <c r="I5" s="7"/>
      <c r="J5" s="7"/>
    </row>
    <row r="6" spans="1:10" ht="15" customHeight="1" x14ac:dyDescent="0.25">
      <c r="A6" s="155"/>
      <c r="B6" s="8" t="s">
        <v>70</v>
      </c>
      <c r="C6" s="8">
        <v>80</v>
      </c>
      <c r="D6" s="95" t="s">
        <v>75</v>
      </c>
      <c r="E6" s="130"/>
      <c r="I6" s="7"/>
      <c r="J6" s="7"/>
    </row>
    <row r="7" spans="1:10" ht="15" customHeight="1" x14ac:dyDescent="0.25">
      <c r="A7" s="155"/>
      <c r="B7" s="8" t="s">
        <v>71</v>
      </c>
      <c r="C7" s="8">
        <v>70</v>
      </c>
      <c r="D7" s="95" t="s">
        <v>75</v>
      </c>
      <c r="E7" s="131"/>
    </row>
    <row r="8" spans="1:10" ht="3" customHeight="1" x14ac:dyDescent="0.25">
      <c r="A8" s="81"/>
      <c r="B8" s="82"/>
      <c r="C8" s="82"/>
      <c r="D8" s="96"/>
      <c r="E8" s="132"/>
    </row>
    <row r="9" spans="1:10" ht="15" customHeight="1" x14ac:dyDescent="0.25">
      <c r="A9" s="156" t="s">
        <v>81</v>
      </c>
      <c r="B9" s="7" t="s">
        <v>78</v>
      </c>
      <c r="C9" s="8">
        <v>100</v>
      </c>
      <c r="D9" s="95" t="s">
        <v>74</v>
      </c>
      <c r="E9" s="133">
        <f>C9</f>
        <v>100</v>
      </c>
    </row>
    <row r="10" spans="1:10" ht="15" customHeight="1" x14ac:dyDescent="0.25">
      <c r="A10" s="156"/>
      <c r="B10" s="7" t="s">
        <v>79</v>
      </c>
      <c r="C10" s="8">
        <v>100</v>
      </c>
      <c r="D10" s="95" t="s">
        <v>74</v>
      </c>
      <c r="E10" s="134"/>
    </row>
    <row r="11" spans="1:10" ht="15" customHeight="1" x14ac:dyDescent="0.25">
      <c r="A11" s="156"/>
      <c r="B11" s="7" t="s">
        <v>80</v>
      </c>
      <c r="C11" s="8">
        <v>100</v>
      </c>
      <c r="D11" s="95" t="s">
        <v>74</v>
      </c>
      <c r="E11" s="135"/>
    </row>
    <row r="12" spans="1:10" ht="3" customHeight="1" x14ac:dyDescent="0.25">
      <c r="A12" s="84"/>
      <c r="B12" s="83"/>
      <c r="C12" s="82"/>
      <c r="D12" s="96"/>
      <c r="E12" s="132"/>
    </row>
    <row r="13" spans="1:10" ht="15" customHeight="1" x14ac:dyDescent="0.25">
      <c r="A13" s="155" t="s">
        <v>97</v>
      </c>
      <c r="B13" s="8" t="s">
        <v>82</v>
      </c>
      <c r="C13" s="8">
        <v>25</v>
      </c>
      <c r="D13" s="95" t="s">
        <v>74</v>
      </c>
      <c r="E13" s="133">
        <f>C13+C14+C15+C16</f>
        <v>100</v>
      </c>
    </row>
    <row r="14" spans="1:10" ht="15" customHeight="1" x14ac:dyDescent="0.25">
      <c r="A14" s="155"/>
      <c r="B14" s="8" t="s">
        <v>83</v>
      </c>
      <c r="C14" s="8">
        <v>25</v>
      </c>
      <c r="D14" s="95" t="s">
        <v>74</v>
      </c>
      <c r="E14" s="134"/>
    </row>
    <row r="15" spans="1:10" ht="15" customHeight="1" x14ac:dyDescent="0.25">
      <c r="A15" s="155"/>
      <c r="B15" s="8" t="s">
        <v>84</v>
      </c>
      <c r="C15" s="8">
        <v>25</v>
      </c>
      <c r="D15" s="95" t="s">
        <v>74</v>
      </c>
      <c r="E15" s="134"/>
    </row>
    <row r="16" spans="1:10" ht="15" customHeight="1" x14ac:dyDescent="0.25">
      <c r="A16" s="155"/>
      <c r="B16" s="8" t="s">
        <v>85</v>
      </c>
      <c r="C16" s="8">
        <v>25</v>
      </c>
      <c r="D16" s="95" t="s">
        <v>74</v>
      </c>
      <c r="E16" s="134"/>
    </row>
    <row r="17" spans="1:5" ht="15" customHeight="1" x14ac:dyDescent="0.25">
      <c r="A17" s="155"/>
      <c r="B17" s="100" t="s">
        <v>86</v>
      </c>
      <c r="C17" s="100">
        <f>SUM(C13:C16)</f>
        <v>100</v>
      </c>
      <c r="D17" s="95"/>
      <c r="E17" s="135"/>
    </row>
    <row r="18" spans="1:5" ht="3" customHeight="1" x14ac:dyDescent="0.25">
      <c r="A18" s="85"/>
      <c r="B18" s="85"/>
      <c r="C18" s="88"/>
      <c r="D18" s="86"/>
      <c r="E18" s="132"/>
    </row>
    <row r="19" spans="1:5" ht="22.5" customHeight="1" x14ac:dyDescent="0.25">
      <c r="A19" s="155" t="s">
        <v>87</v>
      </c>
      <c r="B19" s="6" t="s">
        <v>88</v>
      </c>
      <c r="C19" s="8">
        <v>100</v>
      </c>
      <c r="D19" s="95" t="s">
        <v>76</v>
      </c>
      <c r="E19" s="133">
        <f>C24</f>
        <v>90</v>
      </c>
    </row>
    <row r="20" spans="1:5" ht="31.5" customHeight="1" x14ac:dyDescent="0.25">
      <c r="A20" s="155"/>
      <c r="B20" s="6" t="s">
        <v>89</v>
      </c>
      <c r="C20" s="8">
        <v>100</v>
      </c>
      <c r="D20" s="95" t="s">
        <v>76</v>
      </c>
      <c r="E20" s="134"/>
    </row>
    <row r="21" spans="1:5" ht="15" customHeight="1" x14ac:dyDescent="0.25">
      <c r="A21" s="155"/>
      <c r="B21" s="7" t="s">
        <v>90</v>
      </c>
      <c r="C21" s="8">
        <v>85</v>
      </c>
      <c r="D21" s="95" t="s">
        <v>75</v>
      </c>
      <c r="E21" s="134"/>
    </row>
    <row r="22" spans="1:5" ht="15" customHeight="1" x14ac:dyDescent="0.25">
      <c r="A22" s="155"/>
      <c r="B22" s="7" t="s">
        <v>91</v>
      </c>
      <c r="C22" s="8">
        <v>85</v>
      </c>
      <c r="D22" s="95" t="s">
        <v>75</v>
      </c>
      <c r="E22" s="134"/>
    </row>
    <row r="23" spans="1:5" ht="30" x14ac:dyDescent="0.25">
      <c r="A23" s="155"/>
      <c r="B23" s="11" t="s">
        <v>92</v>
      </c>
      <c r="C23" s="8">
        <v>80</v>
      </c>
      <c r="D23" s="95" t="s">
        <v>75</v>
      </c>
      <c r="E23" s="134"/>
    </row>
    <row r="24" spans="1:5" ht="45" x14ac:dyDescent="0.25">
      <c r="A24" s="155"/>
      <c r="B24" s="11" t="s">
        <v>93</v>
      </c>
      <c r="C24" s="8">
        <v>90</v>
      </c>
      <c r="D24" s="95" t="s">
        <v>75</v>
      </c>
      <c r="E24" s="135"/>
    </row>
    <row r="25" spans="1:5" ht="7.5" customHeight="1" x14ac:dyDescent="0.25">
      <c r="A25" s="90"/>
      <c r="B25" s="91"/>
      <c r="C25" s="92"/>
      <c r="D25" s="97"/>
      <c r="E25" s="132"/>
    </row>
    <row r="26" spans="1:5" ht="15" customHeight="1" x14ac:dyDescent="0.25">
      <c r="A26" s="155" t="s">
        <v>98</v>
      </c>
      <c r="B26" s="8" t="s">
        <v>95</v>
      </c>
      <c r="C26" s="8">
        <v>50</v>
      </c>
      <c r="D26" s="95" t="s">
        <v>76</v>
      </c>
      <c r="E26" s="133">
        <f>C26</f>
        <v>50</v>
      </c>
    </row>
    <row r="27" spans="1:5" ht="15" customHeight="1" x14ac:dyDescent="0.25">
      <c r="A27" s="155"/>
      <c r="B27" s="8" t="s">
        <v>96</v>
      </c>
      <c r="C27" s="8">
        <v>50</v>
      </c>
      <c r="D27" s="95" t="s">
        <v>76</v>
      </c>
      <c r="E27" s="135"/>
    </row>
    <row r="28" spans="1:5" ht="5.25" customHeight="1" x14ac:dyDescent="0.25">
      <c r="A28" s="94"/>
      <c r="B28" s="93"/>
      <c r="C28" s="93"/>
      <c r="D28" s="93"/>
      <c r="E28" s="132"/>
    </row>
    <row r="29" spans="1:5" ht="30" customHeight="1" x14ac:dyDescent="0.25">
      <c r="A29" s="155" t="s">
        <v>62</v>
      </c>
      <c r="B29" s="8" t="s">
        <v>99</v>
      </c>
      <c r="C29" s="8">
        <v>100</v>
      </c>
      <c r="D29" s="95" t="s">
        <v>74</v>
      </c>
      <c r="E29" s="133">
        <f>C29</f>
        <v>100</v>
      </c>
    </row>
    <row r="30" spans="1:5" ht="15" customHeight="1" x14ac:dyDescent="0.25">
      <c r="A30" s="155"/>
      <c r="B30" s="8" t="s">
        <v>100</v>
      </c>
      <c r="C30" s="8">
        <v>0</v>
      </c>
      <c r="D30" s="95" t="s">
        <v>101</v>
      </c>
      <c r="E30" s="135"/>
    </row>
    <row r="31" spans="1:5" ht="7.5" customHeight="1" x14ac:dyDescent="0.25">
      <c r="A31" s="93"/>
      <c r="B31" s="93"/>
      <c r="C31" s="93"/>
      <c r="D31" s="93"/>
      <c r="E31" s="132"/>
    </row>
    <row r="32" spans="1:5" ht="30" customHeight="1" x14ac:dyDescent="0.25">
      <c r="A32" s="155" t="s">
        <v>64</v>
      </c>
      <c r="B32" s="8" t="s">
        <v>102</v>
      </c>
      <c r="C32" s="8">
        <v>100</v>
      </c>
      <c r="D32" s="95" t="s">
        <v>76</v>
      </c>
      <c r="E32" s="133">
        <f>C32</f>
        <v>100</v>
      </c>
    </row>
    <row r="33" spans="1:5" ht="15" customHeight="1" x14ac:dyDescent="0.25">
      <c r="A33" s="155"/>
      <c r="B33" s="8" t="s">
        <v>103</v>
      </c>
      <c r="C33" s="8">
        <v>0</v>
      </c>
      <c r="D33" s="95" t="s">
        <v>101</v>
      </c>
      <c r="E33" s="135"/>
    </row>
    <row r="34" spans="1:5" ht="8.25" customHeight="1" x14ac:dyDescent="0.25">
      <c r="A34" s="93"/>
      <c r="B34" s="93"/>
      <c r="C34" s="93"/>
      <c r="D34" s="93"/>
      <c r="E34" s="132"/>
    </row>
    <row r="35" spans="1:5" ht="15" customHeight="1" x14ac:dyDescent="0.25">
      <c r="A35" s="156" t="s">
        <v>65</v>
      </c>
      <c r="B35" s="8" t="s">
        <v>104</v>
      </c>
      <c r="C35" s="8">
        <v>100</v>
      </c>
      <c r="D35" s="95" t="s">
        <v>76</v>
      </c>
      <c r="E35" s="133">
        <f>C36</f>
        <v>0</v>
      </c>
    </row>
    <row r="36" spans="1:5" ht="15" customHeight="1" x14ac:dyDescent="0.25">
      <c r="A36" s="156"/>
      <c r="B36" s="8" t="s">
        <v>105</v>
      </c>
      <c r="C36" s="8">
        <v>0</v>
      </c>
      <c r="D36" s="95" t="s">
        <v>101</v>
      </c>
      <c r="E36" s="135"/>
    </row>
    <row r="37" spans="1:5" ht="7.5" customHeight="1" x14ac:dyDescent="0.25">
      <c r="A37" s="93"/>
      <c r="B37" s="93"/>
      <c r="C37" s="93"/>
      <c r="D37" s="93"/>
      <c r="E37" s="132"/>
    </row>
    <row r="38" spans="1:5" ht="15" customHeight="1" x14ac:dyDescent="0.25">
      <c r="A38" s="7" t="s">
        <v>66</v>
      </c>
      <c r="B38" s="8" t="s">
        <v>106</v>
      </c>
      <c r="C38" s="8">
        <v>100</v>
      </c>
      <c r="D38" s="95" t="s">
        <v>76</v>
      </c>
      <c r="E38" s="133">
        <f>C38</f>
        <v>100</v>
      </c>
    </row>
    <row r="39" spans="1:5" ht="15" customHeight="1" x14ac:dyDescent="0.25">
      <c r="B39" s="8" t="s">
        <v>107</v>
      </c>
      <c r="C39" s="8">
        <v>0</v>
      </c>
      <c r="D39" s="95" t="s">
        <v>101</v>
      </c>
      <c r="E39" s="135"/>
    </row>
    <row r="40" spans="1:5" ht="7.5" customHeight="1" x14ac:dyDescent="0.25">
      <c r="A40" s="93"/>
      <c r="B40" s="93"/>
      <c r="C40" s="93"/>
      <c r="D40" s="93"/>
      <c r="E40" s="132"/>
    </row>
    <row r="41" spans="1:5" ht="15" customHeight="1" x14ac:dyDescent="0.25">
      <c r="A41" s="157" t="s">
        <v>67</v>
      </c>
      <c r="B41" s="8" t="s">
        <v>108</v>
      </c>
      <c r="C41" s="8">
        <v>100</v>
      </c>
      <c r="D41" s="95" t="s">
        <v>76</v>
      </c>
      <c r="E41" s="133">
        <f>C42</f>
        <v>0</v>
      </c>
    </row>
    <row r="42" spans="1:5" ht="15" customHeight="1" x14ac:dyDescent="0.25">
      <c r="A42" s="157"/>
      <c r="B42" s="8" t="s">
        <v>109</v>
      </c>
      <c r="C42" s="8">
        <v>0</v>
      </c>
      <c r="D42" s="95" t="s">
        <v>101</v>
      </c>
      <c r="E42" s="135"/>
    </row>
    <row r="43" spans="1:5" ht="18.75" x14ac:dyDescent="0.25">
      <c r="E43" s="136">
        <f>SUM(E5:E42)</f>
        <v>740</v>
      </c>
    </row>
  </sheetData>
  <mergeCells count="10">
    <mergeCell ref="A1:C2"/>
    <mergeCell ref="A29:A30"/>
    <mergeCell ref="A32:A33"/>
    <mergeCell ref="A35:A36"/>
    <mergeCell ref="A41:A42"/>
    <mergeCell ref="A5:A7"/>
    <mergeCell ref="A9:A11"/>
    <mergeCell ref="A13:A17"/>
    <mergeCell ref="A19:A24"/>
    <mergeCell ref="A26:A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1" sqref="E11"/>
    </sheetView>
  </sheetViews>
  <sheetFormatPr baseColWidth="10" defaultRowHeight="15" x14ac:dyDescent="0.25"/>
  <cols>
    <col min="1" max="1" width="71.42578125" customWidth="1"/>
    <col min="2" max="2" width="30" customWidth="1"/>
    <col min="3" max="3" width="16.85546875" customWidth="1"/>
    <col min="4" max="4" width="31.85546875" customWidth="1"/>
    <col min="5" max="5" width="23.7109375" customWidth="1"/>
    <col min="6" max="6" width="25" bestFit="1" customWidth="1"/>
    <col min="7" max="7" width="17" customWidth="1"/>
  </cols>
  <sheetData>
    <row r="1" spans="1:7" ht="19.5" thickBot="1" x14ac:dyDescent="0.35">
      <c r="A1" s="158" t="s">
        <v>12</v>
      </c>
      <c r="B1" s="158"/>
      <c r="C1" s="159"/>
      <c r="D1" s="159"/>
      <c r="E1" s="158"/>
      <c r="F1" s="158"/>
      <c r="G1" s="158"/>
    </row>
    <row r="2" spans="1:7" ht="15.75" thickTop="1" x14ac:dyDescent="0.25">
      <c r="C2" s="165" t="s">
        <v>115</v>
      </c>
      <c r="D2" s="163">
        <f>SUM(E11+E19+E28+E35)</f>
        <v>90</v>
      </c>
    </row>
    <row r="3" spans="1:7" ht="23.25" customHeight="1" thickBot="1" x14ac:dyDescent="0.3">
      <c r="C3" s="166"/>
      <c r="D3" s="164"/>
      <c r="E3" s="102" t="s">
        <v>114</v>
      </c>
    </row>
    <row r="4" spans="1:7" ht="15.75" thickBot="1" x14ac:dyDescent="0.3"/>
    <row r="5" spans="1:7" ht="34.5" customHeight="1" thickBot="1" x14ac:dyDescent="0.35">
      <c r="A5" s="4" t="s">
        <v>11</v>
      </c>
      <c r="B5" s="4" t="s">
        <v>10</v>
      </c>
      <c r="C5" s="5" t="s">
        <v>6</v>
      </c>
      <c r="E5" s="103" t="s">
        <v>11</v>
      </c>
    </row>
    <row r="6" spans="1:7" x14ac:dyDescent="0.25">
      <c r="A6" s="157" t="s">
        <v>1</v>
      </c>
      <c r="B6" s="6" t="s">
        <v>2</v>
      </c>
      <c r="C6" s="101">
        <v>20</v>
      </c>
      <c r="D6" s="160" t="s">
        <v>113</v>
      </c>
      <c r="E6" s="104">
        <v>15</v>
      </c>
    </row>
    <row r="7" spans="1:7" x14ac:dyDescent="0.25">
      <c r="A7" s="157"/>
      <c r="B7" s="8" t="s">
        <v>3</v>
      </c>
      <c r="C7" s="101">
        <v>20</v>
      </c>
      <c r="D7" s="161"/>
      <c r="E7" s="104">
        <v>20</v>
      </c>
    </row>
    <row r="8" spans="1:7" x14ac:dyDescent="0.25">
      <c r="A8" s="157"/>
      <c r="B8" s="8" t="s">
        <v>5</v>
      </c>
      <c r="C8" s="101">
        <v>20</v>
      </c>
      <c r="D8" s="161"/>
      <c r="E8" s="104">
        <v>18</v>
      </c>
    </row>
    <row r="9" spans="1:7" x14ac:dyDescent="0.25">
      <c r="A9" s="157"/>
      <c r="B9" s="8" t="s">
        <v>4</v>
      </c>
      <c r="C9" s="101">
        <v>20</v>
      </c>
      <c r="D9" s="161"/>
      <c r="E9" s="104">
        <v>17</v>
      </c>
    </row>
    <row r="10" spans="1:7" ht="15.75" thickBot="1" x14ac:dyDescent="0.3">
      <c r="A10" s="157"/>
      <c r="B10" s="8" t="s">
        <v>58</v>
      </c>
      <c r="C10" s="101">
        <v>20</v>
      </c>
      <c r="D10" s="162"/>
      <c r="E10" s="104">
        <v>20</v>
      </c>
    </row>
    <row r="11" spans="1:7" ht="19.5" thickBot="1" x14ac:dyDescent="0.35">
      <c r="A11" s="9" t="s">
        <v>9</v>
      </c>
      <c r="B11" s="9"/>
      <c r="C11" s="10">
        <f>SUM(C6:C10)</f>
        <v>100</v>
      </c>
      <c r="D11" s="78"/>
      <c r="E11" s="105">
        <f>SUM(E6:E10)</f>
        <v>90</v>
      </c>
    </row>
    <row r="12" spans="1:7" ht="17.25" customHeight="1" x14ac:dyDescent="0.3">
      <c r="A12" s="2"/>
      <c r="B12" s="2"/>
      <c r="C12" s="3" t="s">
        <v>59</v>
      </c>
      <c r="D12" s="78"/>
    </row>
    <row r="13" spans="1:7" ht="11.25" customHeight="1" x14ac:dyDescent="0.3">
      <c r="A13" s="2"/>
      <c r="B13" s="2"/>
      <c r="C13" s="3"/>
      <c r="D13" s="78"/>
    </row>
    <row r="14" spans="1:7" ht="8.25" customHeight="1" x14ac:dyDescent="0.25">
      <c r="D14" s="78"/>
    </row>
    <row r="16" spans="1:7" ht="15.75" customHeight="1" x14ac:dyDescent="0.25"/>
    <row r="20" ht="9" customHeight="1" x14ac:dyDescent="0.25"/>
    <row r="21" ht="9" customHeight="1" x14ac:dyDescent="0.25"/>
    <row r="22" ht="9" customHeight="1" x14ac:dyDescent="0.25"/>
    <row r="24" ht="15.75" customHeight="1" x14ac:dyDescent="0.25"/>
  </sheetData>
  <mergeCells count="5">
    <mergeCell ref="A6:A10"/>
    <mergeCell ref="A1:G1"/>
    <mergeCell ref="D6:D10"/>
    <mergeCell ref="D2:D3"/>
    <mergeCell ref="C2:C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zoomScale="80" zoomScaleNormal="80" workbookViewId="0">
      <selection activeCell="G5" sqref="G5:H8"/>
    </sheetView>
  </sheetViews>
  <sheetFormatPr baseColWidth="10" defaultColWidth="0" defaultRowHeight="15" x14ac:dyDescent="0.25"/>
  <cols>
    <col min="1" max="1" width="11.28515625" style="106" customWidth="1"/>
    <col min="2" max="2" width="23" style="106" customWidth="1"/>
    <col min="3" max="3" width="11.85546875" style="106" customWidth="1"/>
    <col min="4" max="4" width="33.42578125" style="106" customWidth="1"/>
    <col min="5" max="6" width="2.5703125" style="106" customWidth="1"/>
    <col min="7" max="7" width="12.85546875" style="106" customWidth="1"/>
    <col min="8" max="8" width="16.28515625" style="106" customWidth="1"/>
    <col min="9" max="9" width="12.5703125" style="106" customWidth="1"/>
    <col min="10" max="10" width="35.42578125" style="106" customWidth="1"/>
    <col min="11" max="11" width="4" style="106" customWidth="1"/>
    <col min="12" max="12" width="5" style="106" customWidth="1"/>
    <col min="13" max="16384" width="11.42578125" style="106" hidden="1"/>
  </cols>
  <sheetData>
    <row r="1" spans="1:10" customFormat="1" x14ac:dyDescent="0.25">
      <c r="A1" s="167" t="s">
        <v>126</v>
      </c>
      <c r="B1" s="167"/>
      <c r="C1" s="167"/>
      <c r="D1" s="167"/>
      <c r="E1" s="167"/>
      <c r="F1" s="167"/>
      <c r="G1" s="167"/>
      <c r="H1" s="167"/>
      <c r="I1" s="167"/>
      <c r="J1" s="167"/>
    </row>
    <row r="2" spans="1:10" customFormat="1" ht="15.75" thickBot="1" x14ac:dyDescent="0.3">
      <c r="A2" s="168"/>
      <c r="B2" s="168"/>
      <c r="C2" s="168"/>
      <c r="D2" s="168"/>
      <c r="E2" s="168"/>
      <c r="F2" s="168"/>
      <c r="G2" s="168"/>
      <c r="H2" s="168"/>
      <c r="I2" s="168"/>
      <c r="J2" s="168"/>
    </row>
    <row r="3" spans="1:10" customFormat="1" ht="15.75" thickTop="1" x14ac:dyDescent="0.25"/>
    <row r="4" spans="1:10" customFormat="1" ht="15.75" thickBot="1" x14ac:dyDescent="0.3"/>
    <row r="5" spans="1:10" customFormat="1" ht="15.75" thickBot="1" x14ac:dyDescent="0.3">
      <c r="A5" s="150" t="s">
        <v>7</v>
      </c>
      <c r="B5" s="146" t="s">
        <v>125</v>
      </c>
      <c r="C5" s="147" t="s">
        <v>124</v>
      </c>
      <c r="G5" s="123" t="s">
        <v>7</v>
      </c>
      <c r="H5" s="124" t="s">
        <v>125</v>
      </c>
      <c r="I5" s="125" t="s">
        <v>124</v>
      </c>
    </row>
    <row r="6" spans="1:10" customFormat="1" ht="15" customHeight="1" x14ac:dyDescent="0.25">
      <c r="A6" s="178" t="s">
        <v>56</v>
      </c>
      <c r="B6" s="148" t="s">
        <v>116</v>
      </c>
      <c r="C6" s="149">
        <v>100</v>
      </c>
      <c r="D6" s="175" t="s">
        <v>118</v>
      </c>
      <c r="E6" s="78"/>
      <c r="F6" s="78"/>
      <c r="G6" s="172" t="s">
        <v>60</v>
      </c>
      <c r="H6" s="122" t="s">
        <v>119</v>
      </c>
      <c r="I6" s="140">
        <v>100</v>
      </c>
      <c r="J6" s="169" t="s">
        <v>77</v>
      </c>
    </row>
    <row r="7" spans="1:10" customFormat="1" x14ac:dyDescent="0.25">
      <c r="A7" s="178"/>
      <c r="B7" s="148" t="s">
        <v>117</v>
      </c>
      <c r="C7" s="149">
        <v>100</v>
      </c>
      <c r="D7" s="176"/>
      <c r="E7" s="78"/>
      <c r="F7" s="78"/>
      <c r="G7" s="173"/>
      <c r="H7" s="8" t="s">
        <v>120</v>
      </c>
      <c r="I7" s="12">
        <v>90</v>
      </c>
      <c r="J7" s="170"/>
    </row>
    <row r="8" spans="1:10" customFormat="1" ht="15.75" thickBot="1" x14ac:dyDescent="0.3">
      <c r="A8" s="178"/>
      <c r="B8" s="148" t="s">
        <v>123</v>
      </c>
      <c r="C8" s="149">
        <v>100</v>
      </c>
      <c r="D8" s="177"/>
      <c r="E8" s="78"/>
      <c r="F8" s="78"/>
      <c r="G8" s="174"/>
      <c r="H8" s="126" t="s">
        <v>121</v>
      </c>
      <c r="I8" s="141">
        <v>100</v>
      </c>
      <c r="J8" s="171"/>
    </row>
    <row r="9" spans="1:10" customFormat="1" x14ac:dyDescent="0.25">
      <c r="A9" s="178"/>
      <c r="B9" s="148" t="s">
        <v>132</v>
      </c>
      <c r="C9" s="149">
        <v>100</v>
      </c>
    </row>
    <row r="10" spans="1:10" customFormat="1" x14ac:dyDescent="0.25">
      <c r="A10" s="178"/>
      <c r="B10" s="148" t="s">
        <v>133</v>
      </c>
      <c r="C10" s="149">
        <v>100</v>
      </c>
    </row>
    <row r="11" spans="1:10" customFormat="1" x14ac:dyDescent="0.25">
      <c r="A11" s="178"/>
      <c r="B11" s="148" t="s">
        <v>134</v>
      </c>
      <c r="C11" s="149">
        <v>100</v>
      </c>
    </row>
  </sheetData>
  <mergeCells count="5">
    <mergeCell ref="A1:J2"/>
    <mergeCell ref="J6:J8"/>
    <mergeCell ref="G6:G8"/>
    <mergeCell ref="D6:D8"/>
    <mergeCell ref="A6:A1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showGridLines="0" zoomScale="55" zoomScaleNormal="55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L9" sqref="L9:N38"/>
    </sheetView>
  </sheetViews>
  <sheetFormatPr baseColWidth="10" defaultRowHeight="15" x14ac:dyDescent="0.25"/>
  <cols>
    <col min="1" max="1" width="8.140625" style="1" customWidth="1"/>
    <col min="2" max="2" width="24.28515625" style="13" customWidth="1"/>
    <col min="3" max="3" width="15" style="1" bestFit="1" customWidth="1"/>
    <col min="4" max="4" width="20.5703125" style="1" customWidth="1"/>
    <col min="5" max="5" width="22" style="1" customWidth="1"/>
    <col min="6" max="6" width="20.5703125" style="1" customWidth="1"/>
    <col min="7" max="7" width="21.28515625" style="1" customWidth="1"/>
    <col min="8" max="8" width="19.42578125" style="1" customWidth="1"/>
    <col min="9" max="9" width="18.28515625" style="1" customWidth="1"/>
    <col min="10" max="10" width="18.85546875" style="1" customWidth="1"/>
    <col min="11" max="11" width="19" style="1" customWidth="1"/>
    <col min="12" max="12" width="18" style="1" customWidth="1"/>
    <col min="13" max="13" width="16.85546875" style="1" customWidth="1"/>
    <col min="14" max="14" width="17.5703125" style="1" customWidth="1"/>
    <col min="15" max="16384" width="11.42578125" style="1"/>
  </cols>
  <sheetData>
    <row r="1" spans="1:14" ht="6.75" customHeight="1" x14ac:dyDescent="0.25"/>
    <row r="2" spans="1:14" ht="29.25" customHeight="1" x14ac:dyDescent="0.25">
      <c r="A2" s="14"/>
      <c r="B2" s="15"/>
      <c r="C2" s="192" t="s">
        <v>23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4"/>
    </row>
    <row r="3" spans="1:14" ht="7.5" customHeight="1" x14ac:dyDescent="0.25">
      <c r="A3" s="14"/>
      <c r="B3" s="15"/>
      <c r="C3" s="14"/>
      <c r="D3" s="15"/>
      <c r="E3" s="15"/>
      <c r="F3" s="14"/>
      <c r="G3" s="14"/>
      <c r="H3" s="14"/>
      <c r="I3" s="14"/>
      <c r="J3" s="14"/>
      <c r="K3" s="14"/>
      <c r="L3" s="14"/>
      <c r="M3" s="14"/>
      <c r="N3" s="14"/>
    </row>
    <row r="4" spans="1:14" ht="9.75" customHeight="1" x14ac:dyDescent="0.25">
      <c r="A4" s="14"/>
      <c r="B4" s="15"/>
      <c r="C4" s="14"/>
      <c r="D4" s="15"/>
      <c r="E4" s="15"/>
      <c r="F4" s="14"/>
      <c r="G4" s="14"/>
      <c r="H4" s="14"/>
      <c r="I4" s="14"/>
      <c r="J4" s="14"/>
      <c r="K4" s="14"/>
      <c r="L4" s="14"/>
      <c r="M4" s="14"/>
      <c r="N4" s="14"/>
    </row>
    <row r="5" spans="1:14" ht="30.75" customHeight="1" thickBot="1" x14ac:dyDescent="0.3">
      <c r="A5" s="14"/>
      <c r="B5" s="15"/>
      <c r="C5" s="14"/>
      <c r="D5" s="193" t="s">
        <v>20</v>
      </c>
      <c r="E5" s="193"/>
      <c r="F5" s="194" t="s">
        <v>21</v>
      </c>
      <c r="G5" s="194"/>
      <c r="H5" s="194"/>
      <c r="I5" s="195" t="s">
        <v>43</v>
      </c>
      <c r="J5" s="195"/>
      <c r="K5" s="195"/>
      <c r="L5" s="196" t="s">
        <v>22</v>
      </c>
      <c r="M5" s="196"/>
      <c r="N5" s="196"/>
    </row>
    <row r="6" spans="1:14" ht="30" customHeight="1" x14ac:dyDescent="0.25">
      <c r="A6" s="179" t="s">
        <v>24</v>
      </c>
      <c r="B6" s="180" t="s">
        <v>25</v>
      </c>
      <c r="C6" s="182" t="s">
        <v>26</v>
      </c>
      <c r="D6" s="184" t="s">
        <v>27</v>
      </c>
      <c r="E6" s="185"/>
      <c r="F6" s="186" t="s">
        <v>28</v>
      </c>
      <c r="G6" s="185"/>
      <c r="H6" s="187"/>
      <c r="I6" s="186" t="s">
        <v>29</v>
      </c>
      <c r="J6" s="185"/>
      <c r="K6" s="187"/>
      <c r="L6" s="186" t="s">
        <v>30</v>
      </c>
      <c r="M6" s="185"/>
      <c r="N6" s="187"/>
    </row>
    <row r="7" spans="1:14" ht="30.75" customHeight="1" x14ac:dyDescent="0.25">
      <c r="A7" s="179"/>
      <c r="B7" s="181"/>
      <c r="C7" s="183"/>
      <c r="D7" s="20" t="s">
        <v>44</v>
      </c>
      <c r="E7" s="21" t="s">
        <v>45</v>
      </c>
      <c r="F7" s="21" t="s">
        <v>47</v>
      </c>
      <c r="G7" s="21" t="s">
        <v>46</v>
      </c>
      <c r="H7" s="21" t="s">
        <v>48</v>
      </c>
      <c r="I7" s="16" t="s">
        <v>49</v>
      </c>
      <c r="J7" s="16" t="s">
        <v>50</v>
      </c>
      <c r="K7" s="16" t="s">
        <v>51</v>
      </c>
      <c r="L7" s="16" t="s">
        <v>31</v>
      </c>
      <c r="M7" s="16" t="s">
        <v>32</v>
      </c>
      <c r="N7" s="16" t="s">
        <v>33</v>
      </c>
    </row>
    <row r="8" spans="1:14" ht="26.25" customHeight="1" thickBot="1" x14ac:dyDescent="0.3">
      <c r="A8" s="179"/>
      <c r="B8" s="181"/>
      <c r="C8" s="183"/>
      <c r="D8" s="197" t="s">
        <v>34</v>
      </c>
      <c r="E8" s="198"/>
      <c r="F8" s="198" t="s">
        <v>34</v>
      </c>
      <c r="G8" s="198"/>
      <c r="H8" s="198"/>
      <c r="I8" s="198" t="s">
        <v>35</v>
      </c>
      <c r="J8" s="198"/>
      <c r="K8" s="198"/>
      <c r="L8" s="199" t="s">
        <v>36</v>
      </c>
      <c r="M8" s="200"/>
      <c r="N8" s="197"/>
    </row>
    <row r="9" spans="1:14" ht="18.75" customHeight="1" x14ac:dyDescent="0.25">
      <c r="A9" s="179"/>
      <c r="B9" s="188" t="s">
        <v>37</v>
      </c>
      <c r="C9" s="75">
        <v>15</v>
      </c>
      <c r="D9" s="220" t="s">
        <v>54</v>
      </c>
      <c r="E9" s="221"/>
      <c r="F9" s="190">
        <v>0.35</v>
      </c>
      <c r="G9" s="26"/>
      <c r="H9" s="22"/>
      <c r="I9" s="201">
        <v>0.65</v>
      </c>
      <c r="J9" s="33"/>
      <c r="K9" s="31"/>
      <c r="L9" s="204" t="s">
        <v>52</v>
      </c>
      <c r="M9" s="205"/>
      <c r="N9" s="206"/>
    </row>
    <row r="10" spans="1:14" ht="18.75" x14ac:dyDescent="0.25">
      <c r="A10" s="179"/>
      <c r="B10" s="189"/>
      <c r="C10" s="76">
        <v>20</v>
      </c>
      <c r="D10" s="222"/>
      <c r="E10" s="223"/>
      <c r="F10" s="191"/>
      <c r="G10" s="27"/>
      <c r="H10" s="24"/>
      <c r="I10" s="202"/>
      <c r="J10" s="34"/>
      <c r="K10" s="32"/>
      <c r="L10" s="207"/>
      <c r="M10" s="208"/>
      <c r="N10" s="209"/>
    </row>
    <row r="11" spans="1:14" ht="24" customHeight="1" x14ac:dyDescent="0.25">
      <c r="A11" s="179"/>
      <c r="B11" s="189"/>
      <c r="C11" s="76">
        <v>25</v>
      </c>
      <c r="D11" s="222"/>
      <c r="E11" s="223"/>
      <c r="F11" s="23"/>
      <c r="G11" s="28">
        <v>0.55000000000000004</v>
      </c>
      <c r="H11" s="24"/>
      <c r="I11" s="25"/>
      <c r="J11" s="37">
        <v>0.8</v>
      </c>
      <c r="K11" s="32"/>
      <c r="L11" s="207"/>
      <c r="M11" s="208"/>
      <c r="N11" s="209"/>
    </row>
    <row r="12" spans="1:14" ht="30" customHeight="1" thickBot="1" x14ac:dyDescent="0.3">
      <c r="A12" s="179"/>
      <c r="B12" s="203"/>
      <c r="C12" s="77">
        <v>30</v>
      </c>
      <c r="D12" s="222"/>
      <c r="E12" s="223"/>
      <c r="F12" s="23"/>
      <c r="G12" s="27"/>
      <c r="H12" s="29">
        <v>0.6</v>
      </c>
      <c r="I12" s="25"/>
      <c r="J12" s="35"/>
      <c r="K12" s="38">
        <v>0.9</v>
      </c>
      <c r="L12" s="207"/>
      <c r="M12" s="208"/>
      <c r="N12" s="209"/>
    </row>
    <row r="13" spans="1:14" ht="18.75" x14ac:dyDescent="0.25">
      <c r="A13" s="179"/>
      <c r="B13" s="210" t="s">
        <v>38</v>
      </c>
      <c r="C13" s="75">
        <v>15</v>
      </c>
      <c r="D13" s="222"/>
      <c r="E13" s="223"/>
      <c r="F13" s="190">
        <v>0.3</v>
      </c>
      <c r="G13" s="26"/>
      <c r="H13" s="22"/>
      <c r="I13" s="201">
        <v>0.65</v>
      </c>
      <c r="J13" s="33"/>
      <c r="K13" s="31"/>
      <c r="L13" s="207"/>
      <c r="M13" s="208"/>
      <c r="N13" s="209"/>
    </row>
    <row r="14" spans="1:14" ht="18.75" x14ac:dyDescent="0.25">
      <c r="A14" s="179"/>
      <c r="B14" s="189"/>
      <c r="C14" s="76">
        <v>20</v>
      </c>
      <c r="D14" s="222"/>
      <c r="E14" s="223"/>
      <c r="F14" s="191"/>
      <c r="G14" s="27"/>
      <c r="H14" s="24"/>
      <c r="I14" s="202"/>
      <c r="J14" s="35"/>
      <c r="K14" s="32"/>
      <c r="L14" s="207"/>
      <c r="M14" s="208"/>
      <c r="N14" s="209"/>
    </row>
    <row r="15" spans="1:14" ht="25.5" customHeight="1" x14ac:dyDescent="0.25">
      <c r="A15" s="179"/>
      <c r="B15" s="189"/>
      <c r="C15" s="76">
        <v>25</v>
      </c>
      <c r="D15" s="222"/>
      <c r="E15" s="223"/>
      <c r="F15" s="23"/>
      <c r="G15" s="28">
        <v>0.5</v>
      </c>
      <c r="H15" s="24"/>
      <c r="I15" s="25"/>
      <c r="J15" s="37">
        <v>0.8</v>
      </c>
      <c r="K15" s="32"/>
      <c r="L15" s="207"/>
      <c r="M15" s="208"/>
      <c r="N15" s="209"/>
    </row>
    <row r="16" spans="1:14" ht="30.75" customHeight="1" thickBot="1" x14ac:dyDescent="0.3">
      <c r="A16" s="179"/>
      <c r="B16" s="189"/>
      <c r="C16" s="77">
        <v>30</v>
      </c>
      <c r="D16" s="222"/>
      <c r="E16" s="223"/>
      <c r="F16" s="23"/>
      <c r="G16" s="27"/>
      <c r="H16" s="29">
        <v>0.55000000000000004</v>
      </c>
      <c r="I16" s="25"/>
      <c r="J16" s="35"/>
      <c r="K16" s="38">
        <v>0.9</v>
      </c>
      <c r="L16" s="207"/>
      <c r="M16" s="208"/>
      <c r="N16" s="209"/>
    </row>
    <row r="17" spans="1:14" ht="18.75" x14ac:dyDescent="0.25">
      <c r="A17" s="179"/>
      <c r="B17" s="188" t="s">
        <v>39</v>
      </c>
      <c r="C17" s="75">
        <v>15</v>
      </c>
      <c r="D17" s="222"/>
      <c r="E17" s="223"/>
      <c r="F17" s="190">
        <v>0.25</v>
      </c>
      <c r="G17" s="26"/>
      <c r="H17" s="22"/>
      <c r="I17" s="201">
        <v>0.65</v>
      </c>
      <c r="J17" s="33"/>
      <c r="K17" s="31"/>
      <c r="L17" s="207"/>
      <c r="M17" s="208"/>
      <c r="N17" s="209"/>
    </row>
    <row r="18" spans="1:14" ht="18.75" x14ac:dyDescent="0.25">
      <c r="A18" s="179"/>
      <c r="B18" s="189"/>
      <c r="C18" s="76">
        <v>20</v>
      </c>
      <c r="D18" s="222"/>
      <c r="E18" s="223"/>
      <c r="F18" s="191"/>
      <c r="G18" s="27"/>
      <c r="H18" s="24"/>
      <c r="I18" s="202"/>
      <c r="J18" s="35"/>
      <c r="K18" s="32"/>
      <c r="L18" s="207"/>
      <c r="M18" s="208"/>
      <c r="N18" s="209"/>
    </row>
    <row r="19" spans="1:14" ht="27" customHeight="1" x14ac:dyDescent="0.25">
      <c r="A19" s="179"/>
      <c r="B19" s="189"/>
      <c r="C19" s="76">
        <v>25</v>
      </c>
      <c r="D19" s="222"/>
      <c r="E19" s="223"/>
      <c r="F19" s="23"/>
      <c r="G19" s="28">
        <v>0.45</v>
      </c>
      <c r="H19" s="24"/>
      <c r="I19" s="25"/>
      <c r="J19" s="37">
        <v>0.8</v>
      </c>
      <c r="K19" s="32"/>
      <c r="L19" s="207"/>
      <c r="M19" s="208"/>
      <c r="N19" s="209"/>
    </row>
    <row r="20" spans="1:14" ht="30.75" customHeight="1" thickBot="1" x14ac:dyDescent="0.3">
      <c r="A20" s="179"/>
      <c r="B20" s="189"/>
      <c r="C20" s="77">
        <v>30</v>
      </c>
      <c r="D20" s="222"/>
      <c r="E20" s="223"/>
      <c r="F20" s="23"/>
      <c r="G20" s="27"/>
      <c r="H20" s="29">
        <v>0.5</v>
      </c>
      <c r="I20" s="25"/>
      <c r="J20" s="35"/>
      <c r="K20" s="38">
        <v>0.9</v>
      </c>
      <c r="L20" s="207"/>
      <c r="M20" s="208"/>
      <c r="N20" s="209"/>
    </row>
    <row r="21" spans="1:14" ht="18.75" x14ac:dyDescent="0.25">
      <c r="A21" s="179"/>
      <c r="B21" s="188" t="s">
        <v>40</v>
      </c>
      <c r="C21" s="75">
        <v>15</v>
      </c>
      <c r="D21" s="222"/>
      <c r="E21" s="223"/>
      <c r="F21" s="190">
        <v>0.2</v>
      </c>
      <c r="G21" s="26"/>
      <c r="H21" s="22"/>
      <c r="I21" s="201">
        <v>0.65</v>
      </c>
      <c r="J21" s="33"/>
      <c r="K21" s="31"/>
      <c r="L21" s="207"/>
      <c r="M21" s="208"/>
      <c r="N21" s="209"/>
    </row>
    <row r="22" spans="1:14" ht="18.75" x14ac:dyDescent="0.25">
      <c r="A22" s="179"/>
      <c r="B22" s="189"/>
      <c r="C22" s="76">
        <v>20</v>
      </c>
      <c r="D22" s="222"/>
      <c r="E22" s="223"/>
      <c r="F22" s="191"/>
      <c r="G22" s="27"/>
      <c r="H22" s="24"/>
      <c r="I22" s="202"/>
      <c r="J22" s="35"/>
      <c r="K22" s="32"/>
      <c r="L22" s="207"/>
      <c r="M22" s="208"/>
      <c r="N22" s="209"/>
    </row>
    <row r="23" spans="1:14" ht="18.75" x14ac:dyDescent="0.25">
      <c r="A23" s="179"/>
      <c r="B23" s="189"/>
      <c r="C23" s="76">
        <v>25</v>
      </c>
      <c r="D23" s="222"/>
      <c r="E23" s="223"/>
      <c r="F23" s="23"/>
      <c r="G23" s="229">
        <v>0.4</v>
      </c>
      <c r="H23" s="24"/>
      <c r="I23" s="25"/>
      <c r="J23" s="226">
        <v>0.8</v>
      </c>
      <c r="K23" s="32"/>
      <c r="L23" s="207"/>
      <c r="M23" s="208"/>
      <c r="N23" s="209"/>
    </row>
    <row r="24" spans="1:14" ht="18.75" x14ac:dyDescent="0.25">
      <c r="A24" s="179"/>
      <c r="B24" s="189"/>
      <c r="C24" s="76">
        <v>30</v>
      </c>
      <c r="D24" s="222"/>
      <c r="E24" s="223"/>
      <c r="F24" s="23"/>
      <c r="G24" s="230"/>
      <c r="H24" s="24"/>
      <c r="I24" s="25"/>
      <c r="J24" s="226"/>
      <c r="K24" s="32"/>
      <c r="L24" s="207"/>
      <c r="M24" s="208"/>
      <c r="N24" s="209"/>
    </row>
    <row r="25" spans="1:14" ht="27.75" customHeight="1" thickBot="1" x14ac:dyDescent="0.3">
      <c r="A25" s="179"/>
      <c r="B25" s="189"/>
      <c r="C25" s="77">
        <v>35</v>
      </c>
      <c r="D25" s="222"/>
      <c r="E25" s="223"/>
      <c r="F25" s="23"/>
      <c r="G25" s="27"/>
      <c r="H25" s="29">
        <v>0.45</v>
      </c>
      <c r="I25" s="25"/>
      <c r="J25" s="35"/>
      <c r="K25" s="38">
        <v>0.9</v>
      </c>
      <c r="L25" s="207"/>
      <c r="M25" s="208"/>
      <c r="N25" s="209"/>
    </row>
    <row r="26" spans="1:14" ht="18.75" x14ac:dyDescent="0.25">
      <c r="A26" s="179"/>
      <c r="B26" s="188" t="s">
        <v>41</v>
      </c>
      <c r="C26" s="75">
        <v>15</v>
      </c>
      <c r="D26" s="222"/>
      <c r="E26" s="223"/>
      <c r="F26" s="211"/>
      <c r="G26" s="211"/>
      <c r="H26" s="212"/>
      <c r="I26" s="201">
        <v>0.65</v>
      </c>
      <c r="J26" s="33"/>
      <c r="K26" s="31"/>
      <c r="L26" s="207"/>
      <c r="M26" s="208"/>
      <c r="N26" s="209"/>
    </row>
    <row r="27" spans="1:14" ht="18.75" x14ac:dyDescent="0.25">
      <c r="A27" s="179"/>
      <c r="B27" s="189"/>
      <c r="C27" s="76">
        <v>20</v>
      </c>
      <c r="D27" s="222"/>
      <c r="E27" s="223"/>
      <c r="F27" s="213"/>
      <c r="G27" s="213"/>
      <c r="H27" s="214"/>
      <c r="I27" s="202"/>
      <c r="J27" s="35"/>
      <c r="K27" s="32"/>
      <c r="L27" s="207"/>
      <c r="M27" s="208"/>
      <c r="N27" s="209"/>
    </row>
    <row r="28" spans="1:14" ht="18.75" x14ac:dyDescent="0.25">
      <c r="A28" s="179"/>
      <c r="B28" s="189"/>
      <c r="C28" s="76">
        <v>25</v>
      </c>
      <c r="D28" s="222"/>
      <c r="E28" s="223"/>
      <c r="F28" s="213"/>
      <c r="G28" s="213"/>
      <c r="H28" s="214"/>
      <c r="I28" s="25"/>
      <c r="J28" s="226">
        <v>0.8</v>
      </c>
      <c r="K28" s="32"/>
      <c r="L28" s="207"/>
      <c r="M28" s="208"/>
      <c r="N28" s="209"/>
    </row>
    <row r="29" spans="1:14" ht="18.75" x14ac:dyDescent="0.25">
      <c r="A29" s="179"/>
      <c r="B29" s="189"/>
      <c r="C29" s="76">
        <v>30</v>
      </c>
      <c r="D29" s="222"/>
      <c r="E29" s="223"/>
      <c r="F29" s="213"/>
      <c r="G29" s="213"/>
      <c r="H29" s="214"/>
      <c r="I29" s="25"/>
      <c r="J29" s="226"/>
      <c r="K29" s="32"/>
      <c r="L29" s="207"/>
      <c r="M29" s="208"/>
      <c r="N29" s="209"/>
    </row>
    <row r="30" spans="1:14" ht="18.75" x14ac:dyDescent="0.25">
      <c r="A30" s="179"/>
      <c r="B30" s="189"/>
      <c r="C30" s="76">
        <v>35</v>
      </c>
      <c r="D30" s="222"/>
      <c r="E30" s="223"/>
      <c r="F30" s="213"/>
      <c r="G30" s="213"/>
      <c r="H30" s="214"/>
      <c r="I30" s="25"/>
      <c r="J30" s="35"/>
      <c r="K30" s="227">
        <v>0.9</v>
      </c>
      <c r="L30" s="207"/>
      <c r="M30" s="208"/>
      <c r="N30" s="209"/>
    </row>
    <row r="31" spans="1:14" ht="19.5" thickBot="1" x14ac:dyDescent="0.3">
      <c r="A31" s="179"/>
      <c r="B31" s="189"/>
      <c r="C31" s="77">
        <v>40</v>
      </c>
      <c r="D31" s="222"/>
      <c r="E31" s="223"/>
      <c r="F31" s="213"/>
      <c r="G31" s="213"/>
      <c r="H31" s="214"/>
      <c r="I31" s="25"/>
      <c r="J31" s="36"/>
      <c r="K31" s="228"/>
      <c r="L31" s="207"/>
      <c r="M31" s="208"/>
      <c r="N31" s="209"/>
    </row>
    <row r="32" spans="1:14" ht="18.75" x14ac:dyDescent="0.25">
      <c r="A32" s="179"/>
      <c r="B32" s="188" t="s">
        <v>42</v>
      </c>
      <c r="C32" s="75">
        <v>15</v>
      </c>
      <c r="D32" s="222"/>
      <c r="E32" s="223"/>
      <c r="F32" s="211"/>
      <c r="G32" s="211"/>
      <c r="H32" s="212"/>
      <c r="I32" s="217"/>
      <c r="J32" s="211"/>
      <c r="K32" s="212"/>
      <c r="L32" s="207"/>
      <c r="M32" s="208"/>
      <c r="N32" s="209"/>
    </row>
    <row r="33" spans="1:14" ht="18.75" x14ac:dyDescent="0.25">
      <c r="A33" s="179"/>
      <c r="B33" s="189"/>
      <c r="C33" s="76">
        <v>20</v>
      </c>
      <c r="D33" s="222"/>
      <c r="E33" s="223"/>
      <c r="F33" s="213"/>
      <c r="G33" s="213"/>
      <c r="H33" s="214"/>
      <c r="I33" s="218"/>
      <c r="J33" s="213"/>
      <c r="K33" s="214"/>
      <c r="L33" s="207"/>
      <c r="M33" s="208"/>
      <c r="N33" s="209"/>
    </row>
    <row r="34" spans="1:14" ht="18.75" x14ac:dyDescent="0.25">
      <c r="A34" s="179"/>
      <c r="B34" s="189"/>
      <c r="C34" s="76">
        <v>25</v>
      </c>
      <c r="D34" s="222"/>
      <c r="E34" s="223"/>
      <c r="F34" s="213"/>
      <c r="G34" s="213"/>
      <c r="H34" s="214"/>
      <c r="I34" s="218"/>
      <c r="J34" s="213"/>
      <c r="K34" s="214"/>
      <c r="L34" s="207"/>
      <c r="M34" s="208"/>
      <c r="N34" s="209"/>
    </row>
    <row r="35" spans="1:14" ht="18.75" x14ac:dyDescent="0.25">
      <c r="A35" s="179"/>
      <c r="B35" s="189"/>
      <c r="C35" s="76">
        <v>30</v>
      </c>
      <c r="D35" s="222"/>
      <c r="E35" s="223"/>
      <c r="F35" s="213"/>
      <c r="G35" s="213"/>
      <c r="H35" s="214"/>
      <c r="I35" s="218"/>
      <c r="J35" s="213"/>
      <c r="K35" s="214"/>
      <c r="L35" s="207"/>
      <c r="M35" s="208"/>
      <c r="N35" s="209"/>
    </row>
    <row r="36" spans="1:14" ht="18.75" x14ac:dyDescent="0.25">
      <c r="A36" s="179"/>
      <c r="B36" s="189"/>
      <c r="C36" s="76">
        <v>35</v>
      </c>
      <c r="D36" s="222"/>
      <c r="E36" s="223"/>
      <c r="F36" s="213"/>
      <c r="G36" s="213"/>
      <c r="H36" s="214"/>
      <c r="I36" s="218"/>
      <c r="J36" s="213"/>
      <c r="K36" s="214"/>
      <c r="L36" s="207"/>
      <c r="M36" s="208"/>
      <c r="N36" s="209"/>
    </row>
    <row r="37" spans="1:14" ht="18.75" x14ac:dyDescent="0.25">
      <c r="A37" s="179"/>
      <c r="B37" s="189"/>
      <c r="C37" s="76">
        <v>40</v>
      </c>
      <c r="D37" s="222"/>
      <c r="E37" s="223"/>
      <c r="F37" s="213"/>
      <c r="G37" s="213"/>
      <c r="H37" s="214"/>
      <c r="I37" s="218"/>
      <c r="J37" s="213"/>
      <c r="K37" s="214"/>
      <c r="L37" s="207"/>
      <c r="M37" s="208"/>
      <c r="N37" s="209"/>
    </row>
    <row r="38" spans="1:14" ht="19.5" thickBot="1" x14ac:dyDescent="0.3">
      <c r="A38" s="179"/>
      <c r="B38" s="203"/>
      <c r="C38" s="77">
        <v>45</v>
      </c>
      <c r="D38" s="224"/>
      <c r="E38" s="225"/>
      <c r="F38" s="215"/>
      <c r="G38" s="215"/>
      <c r="H38" s="216"/>
      <c r="I38" s="219"/>
      <c r="J38" s="215"/>
      <c r="K38" s="216"/>
      <c r="L38" s="207"/>
      <c r="M38" s="208"/>
      <c r="N38" s="209"/>
    </row>
    <row r="39" spans="1:14" ht="15" customHeight="1" x14ac:dyDescent="0.25">
      <c r="D39"/>
      <c r="E39"/>
    </row>
    <row r="40" spans="1:14" ht="15" customHeight="1" x14ac:dyDescent="0.25">
      <c r="D40"/>
      <c r="E40"/>
    </row>
    <row r="41" spans="1:14" ht="15" customHeight="1" x14ac:dyDescent="0.25">
      <c r="D41"/>
      <c r="E41"/>
    </row>
    <row r="42" spans="1:14" ht="15" customHeight="1" x14ac:dyDescent="0.25">
      <c r="D42"/>
      <c r="E42"/>
    </row>
    <row r="43" spans="1:14" ht="15" customHeight="1" x14ac:dyDescent="0.25">
      <c r="D43"/>
      <c r="E43"/>
    </row>
    <row r="44" spans="1:14" ht="15" customHeight="1" x14ac:dyDescent="0.25">
      <c r="D44"/>
      <c r="E44"/>
    </row>
    <row r="45" spans="1:14" ht="15.75" customHeight="1" x14ac:dyDescent="0.25">
      <c r="D45"/>
      <c r="E45"/>
    </row>
  </sheetData>
  <mergeCells count="40">
    <mergeCell ref="K30:K31"/>
    <mergeCell ref="B21:B25"/>
    <mergeCell ref="F21:F22"/>
    <mergeCell ref="I21:I22"/>
    <mergeCell ref="G23:G24"/>
    <mergeCell ref="J23:J24"/>
    <mergeCell ref="I17:I18"/>
    <mergeCell ref="B9:B12"/>
    <mergeCell ref="F9:F10"/>
    <mergeCell ref="I9:I10"/>
    <mergeCell ref="L9:N38"/>
    <mergeCell ref="B13:B16"/>
    <mergeCell ref="F13:F14"/>
    <mergeCell ref="I13:I14"/>
    <mergeCell ref="B32:B38"/>
    <mergeCell ref="F32:H38"/>
    <mergeCell ref="I32:K38"/>
    <mergeCell ref="D9:E38"/>
    <mergeCell ref="B26:B31"/>
    <mergeCell ref="F26:H31"/>
    <mergeCell ref="I26:I27"/>
    <mergeCell ref="J28:J29"/>
    <mergeCell ref="I6:K6"/>
    <mergeCell ref="L6:N6"/>
    <mergeCell ref="D8:E8"/>
    <mergeCell ref="F8:H8"/>
    <mergeCell ref="I8:K8"/>
    <mergeCell ref="L8:N8"/>
    <mergeCell ref="C2:M2"/>
    <mergeCell ref="D5:E5"/>
    <mergeCell ref="F5:H5"/>
    <mergeCell ref="I5:K5"/>
    <mergeCell ref="L5:N5"/>
    <mergeCell ref="A6:A38"/>
    <mergeCell ref="B6:B8"/>
    <mergeCell ref="C6:C8"/>
    <mergeCell ref="D6:E6"/>
    <mergeCell ref="F6:H6"/>
    <mergeCell ref="B17:B20"/>
    <mergeCell ref="F17:F18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5"/>
  <sheetViews>
    <sheetView showGridLines="0" tabSelected="1" zoomScale="55" zoomScaleNormal="5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I7" sqref="I7"/>
    </sheetView>
  </sheetViews>
  <sheetFormatPr baseColWidth="10" defaultRowHeight="15" x14ac:dyDescent="0.25"/>
  <cols>
    <col min="1" max="1" width="8.140625" style="1" customWidth="1"/>
    <col min="2" max="2" width="24.28515625" style="13" customWidth="1"/>
    <col min="3" max="3" width="15" style="1" bestFit="1" customWidth="1"/>
    <col min="4" max="4" width="22.28515625" style="1" customWidth="1"/>
    <col min="5" max="5" width="22.7109375" style="1" customWidth="1"/>
    <col min="6" max="6" width="27.85546875" style="1" customWidth="1"/>
    <col min="7" max="7" width="27" customWidth="1"/>
    <col min="8" max="8" width="0.85546875" customWidth="1"/>
    <col min="9" max="9" width="30.5703125" customWidth="1"/>
    <col min="10" max="10" width="26.7109375" style="44" customWidth="1"/>
    <col min="11" max="11" width="26.42578125" style="44" customWidth="1"/>
    <col min="12" max="12" width="26.85546875" style="44" customWidth="1"/>
    <col min="13" max="13" width="18" style="44" customWidth="1"/>
    <col min="14" max="14" width="16.85546875" style="44" customWidth="1"/>
    <col min="15" max="15" width="17.5703125" style="44" customWidth="1"/>
    <col min="16" max="16384" width="11.42578125" style="1"/>
  </cols>
  <sheetData>
    <row r="1" spans="1:15" ht="6.75" customHeight="1" x14ac:dyDescent="0.25">
      <c r="G1" s="1"/>
      <c r="H1" s="55"/>
      <c r="I1" s="44"/>
    </row>
    <row r="2" spans="1:15" ht="29.25" customHeight="1" x14ac:dyDescent="0.25">
      <c r="A2" s="14"/>
      <c r="B2" s="15"/>
      <c r="C2" s="192" t="s">
        <v>23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45"/>
    </row>
    <row r="3" spans="1:15" ht="7.5" customHeight="1" x14ac:dyDescent="0.25">
      <c r="A3" s="14"/>
      <c r="B3" s="15"/>
      <c r="C3" s="14"/>
      <c r="D3" s="15"/>
      <c r="E3" s="15"/>
      <c r="F3" s="14"/>
      <c r="G3" s="14"/>
      <c r="H3" s="56"/>
      <c r="I3" s="45"/>
      <c r="J3" s="45"/>
      <c r="K3" s="45"/>
      <c r="L3" s="45"/>
      <c r="M3" s="45"/>
      <c r="N3" s="45"/>
      <c r="O3" s="45"/>
    </row>
    <row r="4" spans="1:15" ht="9.75" customHeight="1" x14ac:dyDescent="0.25">
      <c r="A4" s="14"/>
      <c r="B4" s="15"/>
      <c r="C4" s="14"/>
      <c r="D4" s="15"/>
      <c r="E4" s="15"/>
      <c r="F4" s="14"/>
      <c r="G4" s="14"/>
      <c r="H4" s="56"/>
      <c r="I4" s="45"/>
      <c r="J4" s="45"/>
      <c r="K4" s="45"/>
      <c r="L4" s="45"/>
      <c r="M4" s="45"/>
      <c r="N4" s="45"/>
      <c r="O4" s="45"/>
    </row>
    <row r="5" spans="1:15" ht="30.75" customHeight="1" thickBot="1" x14ac:dyDescent="0.3">
      <c r="A5" s="14"/>
      <c r="B5" s="15"/>
      <c r="C5" s="14"/>
      <c r="D5" s="193" t="s">
        <v>20</v>
      </c>
      <c r="E5" s="193"/>
      <c r="F5" s="247" t="s">
        <v>21</v>
      </c>
      <c r="G5" s="247"/>
      <c r="H5" s="247"/>
      <c r="I5" s="247"/>
      <c r="J5" s="248" t="s">
        <v>43</v>
      </c>
      <c r="K5" s="248"/>
      <c r="L5" s="248"/>
      <c r="M5" s="249" t="s">
        <v>22</v>
      </c>
      <c r="N5" s="249"/>
      <c r="O5" s="249"/>
    </row>
    <row r="6" spans="1:15" ht="30" customHeight="1" x14ac:dyDescent="0.25">
      <c r="A6" s="179" t="s">
        <v>24</v>
      </c>
      <c r="B6" s="180" t="s">
        <v>25</v>
      </c>
      <c r="C6" s="182" t="s">
        <v>26</v>
      </c>
      <c r="D6" s="184" t="s">
        <v>27</v>
      </c>
      <c r="E6" s="185"/>
      <c r="F6" s="186" t="s">
        <v>28</v>
      </c>
      <c r="G6" s="185"/>
      <c r="H6" s="185"/>
      <c r="I6" s="187"/>
      <c r="J6" s="252" t="s">
        <v>29</v>
      </c>
      <c r="K6" s="253"/>
      <c r="L6" s="254"/>
      <c r="M6" s="252" t="s">
        <v>30</v>
      </c>
      <c r="N6" s="253"/>
      <c r="O6" s="254"/>
    </row>
    <row r="7" spans="1:15" ht="30.75" customHeight="1" x14ac:dyDescent="0.25">
      <c r="A7" s="179"/>
      <c r="B7" s="181"/>
      <c r="C7" s="183"/>
      <c r="D7" s="20" t="s">
        <v>44</v>
      </c>
      <c r="E7" s="21" t="s">
        <v>45</v>
      </c>
      <c r="F7" s="21" t="s">
        <v>47</v>
      </c>
      <c r="G7" s="21" t="s">
        <v>46</v>
      </c>
      <c r="H7" s="57"/>
      <c r="I7" s="46" t="s">
        <v>48</v>
      </c>
      <c r="J7" s="47" t="s">
        <v>49</v>
      </c>
      <c r="K7" s="47" t="s">
        <v>50</v>
      </c>
      <c r="L7" s="47" t="s">
        <v>51</v>
      </c>
      <c r="M7" s="47" t="s">
        <v>31</v>
      </c>
      <c r="N7" s="47" t="s">
        <v>32</v>
      </c>
      <c r="O7" s="47" t="s">
        <v>33</v>
      </c>
    </row>
    <row r="8" spans="1:15" ht="26.25" customHeight="1" thickBot="1" x14ac:dyDescent="0.3">
      <c r="A8" s="179"/>
      <c r="B8" s="181"/>
      <c r="C8" s="183"/>
      <c r="D8" s="197" t="s">
        <v>34</v>
      </c>
      <c r="E8" s="198"/>
      <c r="F8" s="198" t="s">
        <v>34</v>
      </c>
      <c r="G8" s="198"/>
      <c r="H8" s="198"/>
      <c r="I8" s="198"/>
      <c r="J8" s="255" t="s">
        <v>35</v>
      </c>
      <c r="K8" s="255"/>
      <c r="L8" s="255"/>
      <c r="M8" s="256" t="s">
        <v>36</v>
      </c>
      <c r="N8" s="257"/>
      <c r="O8" s="258"/>
    </row>
    <row r="9" spans="1:15" ht="22.5" customHeight="1" x14ac:dyDescent="0.25">
      <c r="A9" s="179"/>
      <c r="B9" s="188" t="s">
        <v>37</v>
      </c>
      <c r="C9" s="17">
        <v>15</v>
      </c>
      <c r="D9" s="277" t="s">
        <v>54</v>
      </c>
      <c r="E9" s="278"/>
      <c r="F9" s="259">
        <f>1500000*0.35</f>
        <v>525000</v>
      </c>
      <c r="G9" s="69"/>
      <c r="H9" s="70"/>
      <c r="I9" s="71"/>
      <c r="J9" s="250">
        <f>1500000*0.65</f>
        <v>975000</v>
      </c>
      <c r="K9" s="48"/>
      <c r="L9" s="49"/>
      <c r="M9" s="204" t="s">
        <v>52</v>
      </c>
      <c r="N9" s="205"/>
      <c r="O9" s="206"/>
    </row>
    <row r="10" spans="1:15" ht="18.75" x14ac:dyDescent="0.25">
      <c r="A10" s="179"/>
      <c r="B10" s="189"/>
      <c r="C10" s="18">
        <v>20</v>
      </c>
      <c r="D10" s="279"/>
      <c r="E10" s="280"/>
      <c r="F10" s="260"/>
      <c r="G10" s="27"/>
      <c r="H10" s="59"/>
      <c r="I10" s="72"/>
      <c r="J10" s="251"/>
      <c r="K10" s="50"/>
      <c r="L10" s="51"/>
      <c r="M10" s="207"/>
      <c r="N10" s="208"/>
      <c r="O10" s="209"/>
    </row>
    <row r="11" spans="1:15" ht="22.5" customHeight="1" x14ac:dyDescent="0.25">
      <c r="A11" s="179"/>
      <c r="B11" s="189"/>
      <c r="C11" s="234">
        <v>25</v>
      </c>
      <c r="D11" s="279"/>
      <c r="E11" s="280"/>
      <c r="F11" s="73"/>
      <c r="G11" s="237">
        <f>1500000*0.55</f>
        <v>825000.00000000012</v>
      </c>
      <c r="H11" s="60"/>
      <c r="I11" s="72"/>
      <c r="J11" s="68"/>
      <c r="K11" s="266">
        <f>1500000*0.8</f>
        <v>1200000</v>
      </c>
      <c r="L11" s="51"/>
      <c r="M11" s="207"/>
      <c r="N11" s="208"/>
      <c r="O11" s="209"/>
    </row>
    <row r="12" spans="1:15" ht="22.5" customHeight="1" x14ac:dyDescent="0.25">
      <c r="A12" s="179"/>
      <c r="B12" s="233"/>
      <c r="C12" s="235"/>
      <c r="D12" s="279"/>
      <c r="E12" s="280"/>
      <c r="F12" s="73"/>
      <c r="G12" s="238"/>
      <c r="H12" s="60"/>
      <c r="I12" s="72"/>
      <c r="J12" s="68"/>
      <c r="K12" s="267"/>
      <c r="L12" s="51"/>
      <c r="M12" s="207"/>
      <c r="N12" s="208"/>
      <c r="O12" s="209"/>
    </row>
    <row r="13" spans="1:15" ht="22.5" customHeight="1" x14ac:dyDescent="0.25">
      <c r="A13" s="179"/>
      <c r="B13" s="233"/>
      <c r="C13" s="234">
        <v>30</v>
      </c>
      <c r="D13" s="279"/>
      <c r="E13" s="280"/>
      <c r="F13" s="73"/>
      <c r="G13" s="41"/>
      <c r="H13" s="61"/>
      <c r="I13" s="231">
        <f>1500000*0.6</f>
        <v>900000</v>
      </c>
      <c r="J13" s="68"/>
      <c r="K13" s="66"/>
      <c r="L13" s="264">
        <f>1500000*0.9</f>
        <v>1350000</v>
      </c>
      <c r="M13" s="207"/>
      <c r="N13" s="208"/>
      <c r="O13" s="209"/>
    </row>
    <row r="14" spans="1:15" ht="26.25" customHeight="1" thickBot="1" x14ac:dyDescent="0.3">
      <c r="A14" s="179"/>
      <c r="B14" s="203"/>
      <c r="C14" s="236"/>
      <c r="D14" s="279"/>
      <c r="E14" s="280"/>
      <c r="F14" s="73"/>
      <c r="G14" s="30"/>
      <c r="H14" s="62"/>
      <c r="I14" s="232"/>
      <c r="J14" s="68"/>
      <c r="K14" s="67"/>
      <c r="L14" s="265"/>
      <c r="M14" s="207"/>
      <c r="N14" s="208"/>
      <c r="O14" s="209"/>
    </row>
    <row r="15" spans="1:15" ht="25.5" customHeight="1" x14ac:dyDescent="0.25">
      <c r="A15" s="179"/>
      <c r="B15" s="210" t="s">
        <v>38</v>
      </c>
      <c r="C15" s="17">
        <v>15</v>
      </c>
      <c r="D15" s="279"/>
      <c r="E15" s="280"/>
      <c r="F15" s="268">
        <f>3000000*0.3</f>
        <v>900000</v>
      </c>
      <c r="G15" s="26"/>
      <c r="H15" s="58"/>
      <c r="I15" s="74"/>
      <c r="J15" s="250">
        <f>3000000*0.65</f>
        <v>1950000</v>
      </c>
      <c r="K15" s="48"/>
      <c r="L15" s="49"/>
      <c r="M15" s="207"/>
      <c r="N15" s="208"/>
      <c r="O15" s="209"/>
    </row>
    <row r="16" spans="1:15" ht="25.5" customHeight="1" x14ac:dyDescent="0.25">
      <c r="A16" s="179"/>
      <c r="B16" s="189"/>
      <c r="C16" s="18">
        <v>20</v>
      </c>
      <c r="D16" s="279"/>
      <c r="E16" s="280"/>
      <c r="F16" s="268"/>
      <c r="G16" s="27"/>
      <c r="H16" s="59"/>
      <c r="I16" s="72"/>
      <c r="J16" s="250"/>
      <c r="K16" s="52"/>
      <c r="L16" s="51"/>
      <c r="M16" s="207"/>
      <c r="N16" s="208"/>
      <c r="O16" s="209"/>
    </row>
    <row r="17" spans="1:15" ht="25.5" customHeight="1" x14ac:dyDescent="0.25">
      <c r="A17" s="179"/>
      <c r="B17" s="189"/>
      <c r="C17" s="234">
        <v>25</v>
      </c>
      <c r="D17" s="279"/>
      <c r="E17" s="280"/>
      <c r="F17" s="73"/>
      <c r="G17" s="237">
        <f>3000000*0.5</f>
        <v>1500000</v>
      </c>
      <c r="H17" s="60"/>
      <c r="I17" s="72"/>
      <c r="J17" s="68"/>
      <c r="K17" s="266">
        <f>3000000*0.8</f>
        <v>2400000</v>
      </c>
      <c r="L17" s="51"/>
      <c r="M17" s="207"/>
      <c r="N17" s="208"/>
      <c r="O17" s="209"/>
    </row>
    <row r="18" spans="1:15" ht="25.5" customHeight="1" x14ac:dyDescent="0.25">
      <c r="A18" s="179"/>
      <c r="B18" s="189"/>
      <c r="C18" s="235"/>
      <c r="D18" s="279"/>
      <c r="E18" s="280"/>
      <c r="F18" s="73"/>
      <c r="G18" s="238"/>
      <c r="H18" s="60"/>
      <c r="I18" s="72"/>
      <c r="J18" s="68"/>
      <c r="K18" s="267"/>
      <c r="L18" s="51"/>
      <c r="M18" s="207"/>
      <c r="N18" s="208"/>
      <c r="O18" s="209"/>
    </row>
    <row r="19" spans="1:15" ht="25.5" customHeight="1" x14ac:dyDescent="0.25">
      <c r="A19" s="179"/>
      <c r="B19" s="189"/>
      <c r="C19" s="234">
        <v>30</v>
      </c>
      <c r="D19" s="279"/>
      <c r="E19" s="280"/>
      <c r="F19" s="73"/>
      <c r="G19" s="41"/>
      <c r="H19" s="61"/>
      <c r="I19" s="231">
        <f>3000000*0.55</f>
        <v>1650000.0000000002</v>
      </c>
      <c r="J19" s="68"/>
      <c r="K19" s="53"/>
      <c r="L19" s="264">
        <f>3000000*0.9</f>
        <v>2700000</v>
      </c>
      <c r="M19" s="207"/>
      <c r="N19" s="208"/>
      <c r="O19" s="209"/>
    </row>
    <row r="20" spans="1:15" ht="27.75" customHeight="1" thickBot="1" x14ac:dyDescent="0.3">
      <c r="A20" s="179"/>
      <c r="B20" s="189"/>
      <c r="C20" s="236"/>
      <c r="D20" s="279"/>
      <c r="E20" s="280"/>
      <c r="F20" s="73"/>
      <c r="G20" s="27"/>
      <c r="H20" s="59"/>
      <c r="I20" s="232"/>
      <c r="J20" s="68"/>
      <c r="K20" s="52"/>
      <c r="L20" s="265"/>
      <c r="M20" s="207"/>
      <c r="N20" s="208"/>
      <c r="O20" s="209"/>
    </row>
    <row r="21" spans="1:15" ht="25.5" customHeight="1" x14ac:dyDescent="0.25">
      <c r="A21" s="179"/>
      <c r="B21" s="188" t="s">
        <v>39</v>
      </c>
      <c r="C21" s="17">
        <v>15</v>
      </c>
      <c r="D21" s="279"/>
      <c r="E21" s="280"/>
      <c r="F21" s="268">
        <f>4500000*0.25</f>
        <v>1125000</v>
      </c>
      <c r="G21" s="26"/>
      <c r="H21" s="58"/>
      <c r="I21" s="74"/>
      <c r="J21" s="250">
        <f>4500000*0.65</f>
        <v>2925000</v>
      </c>
      <c r="K21" s="48"/>
      <c r="L21" s="49"/>
      <c r="M21" s="207"/>
      <c r="N21" s="208"/>
      <c r="O21" s="209"/>
    </row>
    <row r="22" spans="1:15" ht="27" customHeight="1" x14ac:dyDescent="0.25">
      <c r="A22" s="179"/>
      <c r="B22" s="189"/>
      <c r="C22" s="18">
        <v>20</v>
      </c>
      <c r="D22" s="279"/>
      <c r="E22" s="280"/>
      <c r="F22" s="268"/>
      <c r="G22" s="27"/>
      <c r="H22" s="59"/>
      <c r="I22" s="72"/>
      <c r="J22" s="250"/>
      <c r="K22" s="52"/>
      <c r="L22" s="51"/>
      <c r="M22" s="207"/>
      <c r="N22" s="208"/>
      <c r="O22" s="209"/>
    </row>
    <row r="23" spans="1:15" ht="27" customHeight="1" x14ac:dyDescent="0.25">
      <c r="A23" s="179"/>
      <c r="B23" s="189"/>
      <c r="C23" s="234">
        <v>25</v>
      </c>
      <c r="D23" s="279"/>
      <c r="E23" s="280"/>
      <c r="F23" s="73"/>
      <c r="G23" s="237">
        <f>4500000*0.45</f>
        <v>2025000</v>
      </c>
      <c r="H23" s="60"/>
      <c r="I23" s="72"/>
      <c r="J23" s="68"/>
      <c r="K23" s="266">
        <f>4500000*0.8</f>
        <v>3600000</v>
      </c>
      <c r="L23" s="51"/>
      <c r="M23" s="207"/>
      <c r="N23" s="208"/>
      <c r="O23" s="209"/>
    </row>
    <row r="24" spans="1:15" ht="27" customHeight="1" x14ac:dyDescent="0.25">
      <c r="A24" s="179"/>
      <c r="B24" s="189"/>
      <c r="C24" s="235"/>
      <c r="D24" s="279"/>
      <c r="E24" s="280"/>
      <c r="F24" s="73"/>
      <c r="G24" s="237"/>
      <c r="H24" s="60"/>
      <c r="I24" s="72"/>
      <c r="J24" s="68"/>
      <c r="K24" s="267"/>
      <c r="L24" s="51"/>
      <c r="M24" s="207"/>
      <c r="N24" s="208"/>
      <c r="O24" s="209"/>
    </row>
    <row r="25" spans="1:15" ht="27" customHeight="1" x14ac:dyDescent="0.25">
      <c r="A25" s="179"/>
      <c r="B25" s="189"/>
      <c r="C25" s="234">
        <v>30</v>
      </c>
      <c r="D25" s="279"/>
      <c r="E25" s="280"/>
      <c r="F25" s="73"/>
      <c r="G25" s="42"/>
      <c r="H25" s="63"/>
      <c r="I25" s="231">
        <f>4500000*0.5</f>
        <v>2250000</v>
      </c>
      <c r="J25" s="68"/>
      <c r="K25" s="53"/>
      <c r="L25" s="275">
        <f>4500000*0.9</f>
        <v>4050000</v>
      </c>
      <c r="M25" s="207"/>
      <c r="N25" s="208"/>
      <c r="O25" s="209"/>
    </row>
    <row r="26" spans="1:15" ht="30.75" customHeight="1" thickBot="1" x14ac:dyDescent="0.3">
      <c r="A26" s="179"/>
      <c r="B26" s="189"/>
      <c r="C26" s="236"/>
      <c r="D26" s="279"/>
      <c r="E26" s="280"/>
      <c r="F26" s="73"/>
      <c r="G26" s="27"/>
      <c r="H26" s="64"/>
      <c r="I26" s="232"/>
      <c r="J26" s="68"/>
      <c r="K26" s="52"/>
      <c r="L26" s="276"/>
      <c r="M26" s="207"/>
      <c r="N26" s="208"/>
      <c r="O26" s="209"/>
    </row>
    <row r="27" spans="1:15" ht="18.75" x14ac:dyDescent="0.25">
      <c r="A27" s="179"/>
      <c r="B27" s="188" t="s">
        <v>40</v>
      </c>
      <c r="C27" s="17">
        <v>15</v>
      </c>
      <c r="D27" s="279"/>
      <c r="E27" s="280"/>
      <c r="F27" s="268">
        <f>6000000*0.2</f>
        <v>1200000</v>
      </c>
      <c r="G27" s="26"/>
      <c r="H27" s="58"/>
      <c r="I27" s="74"/>
      <c r="J27" s="250">
        <f>6000000*0.65</f>
        <v>3900000</v>
      </c>
      <c r="K27" s="48"/>
      <c r="L27" s="49"/>
      <c r="M27" s="207"/>
      <c r="N27" s="208"/>
      <c r="O27" s="209"/>
    </row>
    <row r="28" spans="1:15" ht="22.5" customHeight="1" x14ac:dyDescent="0.25">
      <c r="A28" s="179"/>
      <c r="B28" s="189"/>
      <c r="C28" s="18">
        <v>20</v>
      </c>
      <c r="D28" s="279"/>
      <c r="E28" s="280"/>
      <c r="F28" s="268"/>
      <c r="G28" s="27"/>
      <c r="H28" s="59"/>
      <c r="I28" s="72"/>
      <c r="J28" s="250"/>
      <c r="K28" s="52"/>
      <c r="L28" s="51"/>
      <c r="M28" s="207"/>
      <c r="N28" s="208"/>
      <c r="O28" s="209"/>
    </row>
    <row r="29" spans="1:15" ht="18.75" x14ac:dyDescent="0.25">
      <c r="A29" s="179"/>
      <c r="B29" s="189"/>
      <c r="C29" s="18">
        <v>25</v>
      </c>
      <c r="D29" s="279"/>
      <c r="E29" s="280"/>
      <c r="F29" s="73"/>
      <c r="G29" s="237">
        <f>6000000*0.4</f>
        <v>2400000</v>
      </c>
      <c r="H29" s="60"/>
      <c r="I29" s="72"/>
      <c r="J29" s="68"/>
      <c r="K29" s="266">
        <f>6000000*0.8</f>
        <v>4800000</v>
      </c>
      <c r="L29" s="51"/>
      <c r="M29" s="207"/>
      <c r="N29" s="208"/>
      <c r="O29" s="209"/>
    </row>
    <row r="30" spans="1:15" ht="18.75" x14ac:dyDescent="0.25">
      <c r="A30" s="179"/>
      <c r="B30" s="189"/>
      <c r="C30" s="18">
        <v>30</v>
      </c>
      <c r="D30" s="279"/>
      <c r="E30" s="280"/>
      <c r="F30" s="73"/>
      <c r="G30" s="238"/>
      <c r="H30" s="60"/>
      <c r="I30" s="72"/>
      <c r="J30" s="68"/>
      <c r="K30" s="267"/>
      <c r="L30" s="51"/>
      <c r="M30" s="207"/>
      <c r="N30" s="208"/>
      <c r="O30" s="209"/>
    </row>
    <row r="31" spans="1:15" ht="18.75" x14ac:dyDescent="0.25">
      <c r="A31" s="179"/>
      <c r="B31" s="189"/>
      <c r="C31" s="40"/>
      <c r="D31" s="279"/>
      <c r="E31" s="280"/>
      <c r="F31" s="73"/>
      <c r="G31" s="43"/>
      <c r="H31" s="65"/>
      <c r="I31" s="231">
        <f>6000000*0.45</f>
        <v>2700000</v>
      </c>
      <c r="J31" s="68"/>
      <c r="K31" s="53"/>
      <c r="L31" s="264">
        <f>6000000*0.9</f>
        <v>5400000</v>
      </c>
      <c r="M31" s="207"/>
      <c r="N31" s="208"/>
      <c r="O31" s="209"/>
    </row>
    <row r="32" spans="1:15" ht="27.75" customHeight="1" thickBot="1" x14ac:dyDescent="0.3">
      <c r="A32" s="179"/>
      <c r="B32" s="189"/>
      <c r="C32" s="19">
        <v>35</v>
      </c>
      <c r="D32" s="279"/>
      <c r="E32" s="280"/>
      <c r="F32" s="73"/>
      <c r="G32" s="27"/>
      <c r="H32" s="64"/>
      <c r="I32" s="232"/>
      <c r="J32" s="68"/>
      <c r="K32" s="52"/>
      <c r="L32" s="265"/>
      <c r="M32" s="207"/>
      <c r="N32" s="208"/>
      <c r="O32" s="209"/>
    </row>
    <row r="33" spans="1:15" ht="18.75" x14ac:dyDescent="0.25">
      <c r="A33" s="179"/>
      <c r="B33" s="188" t="s">
        <v>41</v>
      </c>
      <c r="C33" s="17">
        <v>15</v>
      </c>
      <c r="D33" s="279"/>
      <c r="E33" s="280"/>
      <c r="F33" s="239"/>
      <c r="G33" s="240"/>
      <c r="H33" s="240"/>
      <c r="I33" s="241"/>
      <c r="J33" s="250">
        <f>7500000*0.65</f>
        <v>4875000</v>
      </c>
      <c r="K33" s="48"/>
      <c r="L33" s="49"/>
      <c r="M33" s="207"/>
      <c r="N33" s="208"/>
      <c r="O33" s="209"/>
    </row>
    <row r="34" spans="1:15" ht="18.75" x14ac:dyDescent="0.25">
      <c r="A34" s="179"/>
      <c r="B34" s="189"/>
      <c r="C34" s="18">
        <v>20</v>
      </c>
      <c r="D34" s="279"/>
      <c r="E34" s="280"/>
      <c r="F34" s="242"/>
      <c r="G34" s="167"/>
      <c r="H34" s="167"/>
      <c r="I34" s="243"/>
      <c r="J34" s="250"/>
      <c r="K34" s="52"/>
      <c r="L34" s="51"/>
      <c r="M34" s="207"/>
      <c r="N34" s="208"/>
      <c r="O34" s="209"/>
    </row>
    <row r="35" spans="1:15" ht="18.75" x14ac:dyDescent="0.25">
      <c r="A35" s="179"/>
      <c r="B35" s="189"/>
      <c r="C35" s="18">
        <v>25</v>
      </c>
      <c r="D35" s="279"/>
      <c r="E35" s="280"/>
      <c r="F35" s="242"/>
      <c r="G35" s="167"/>
      <c r="H35" s="167"/>
      <c r="I35" s="243"/>
      <c r="J35" s="68"/>
      <c r="K35" s="266">
        <f>7500000*0.8</f>
        <v>6000000</v>
      </c>
      <c r="L35" s="51"/>
      <c r="M35" s="207"/>
      <c r="N35" s="208"/>
      <c r="O35" s="209"/>
    </row>
    <row r="36" spans="1:15" ht="18.75" x14ac:dyDescent="0.25">
      <c r="A36" s="179"/>
      <c r="B36" s="189"/>
      <c r="C36" s="18">
        <v>30</v>
      </c>
      <c r="D36" s="279"/>
      <c r="E36" s="280"/>
      <c r="F36" s="242"/>
      <c r="G36" s="167"/>
      <c r="H36" s="167"/>
      <c r="I36" s="243"/>
      <c r="J36" s="68"/>
      <c r="K36" s="266"/>
      <c r="L36" s="51"/>
      <c r="M36" s="207"/>
      <c r="N36" s="208"/>
      <c r="O36" s="209"/>
    </row>
    <row r="37" spans="1:15" ht="18.75" x14ac:dyDescent="0.25">
      <c r="A37" s="179"/>
      <c r="B37" s="189"/>
      <c r="C37" s="18">
        <v>35</v>
      </c>
      <c r="D37" s="279"/>
      <c r="E37" s="280"/>
      <c r="F37" s="242"/>
      <c r="G37" s="167"/>
      <c r="H37" s="167"/>
      <c r="I37" s="243"/>
      <c r="J37" s="68"/>
      <c r="K37" s="52"/>
      <c r="L37" s="275">
        <f>7500000*0.9</f>
        <v>6750000</v>
      </c>
      <c r="M37" s="207"/>
      <c r="N37" s="208"/>
      <c r="O37" s="209"/>
    </row>
    <row r="38" spans="1:15" ht="19.5" thickBot="1" x14ac:dyDescent="0.3">
      <c r="A38" s="179"/>
      <c r="B38" s="189"/>
      <c r="C38" s="19">
        <v>40</v>
      </c>
      <c r="D38" s="279"/>
      <c r="E38" s="280"/>
      <c r="F38" s="242"/>
      <c r="G38" s="167"/>
      <c r="H38" s="167"/>
      <c r="I38" s="243"/>
      <c r="J38" s="68"/>
      <c r="K38" s="54"/>
      <c r="L38" s="276"/>
      <c r="M38" s="207"/>
      <c r="N38" s="208"/>
      <c r="O38" s="209"/>
    </row>
    <row r="39" spans="1:15" ht="18.75" x14ac:dyDescent="0.25">
      <c r="A39" s="179"/>
      <c r="B39" s="188" t="s">
        <v>42</v>
      </c>
      <c r="C39" s="17">
        <v>15</v>
      </c>
      <c r="D39" s="279"/>
      <c r="E39" s="280"/>
      <c r="F39" s="239"/>
      <c r="G39" s="240"/>
      <c r="H39" s="240"/>
      <c r="I39" s="241"/>
      <c r="J39" s="269"/>
      <c r="K39" s="269"/>
      <c r="L39" s="270"/>
      <c r="M39" s="207"/>
      <c r="N39" s="208"/>
      <c r="O39" s="209"/>
    </row>
    <row r="40" spans="1:15" ht="18.75" x14ac:dyDescent="0.25">
      <c r="A40" s="179"/>
      <c r="B40" s="189"/>
      <c r="C40" s="18">
        <v>20</v>
      </c>
      <c r="D40" s="279"/>
      <c r="E40" s="280"/>
      <c r="F40" s="242"/>
      <c r="G40" s="167"/>
      <c r="H40" s="167"/>
      <c r="I40" s="243"/>
      <c r="J40" s="271"/>
      <c r="K40" s="271"/>
      <c r="L40" s="272"/>
      <c r="M40" s="207"/>
      <c r="N40" s="208"/>
      <c r="O40" s="209"/>
    </row>
    <row r="41" spans="1:15" ht="18.75" x14ac:dyDescent="0.25">
      <c r="A41" s="179"/>
      <c r="B41" s="189"/>
      <c r="C41" s="18">
        <v>25</v>
      </c>
      <c r="D41" s="279"/>
      <c r="E41" s="280"/>
      <c r="F41" s="242"/>
      <c r="G41" s="167"/>
      <c r="H41" s="167"/>
      <c r="I41" s="243"/>
      <c r="J41" s="271"/>
      <c r="K41" s="271"/>
      <c r="L41" s="272"/>
      <c r="M41" s="207"/>
      <c r="N41" s="208"/>
      <c r="O41" s="209"/>
    </row>
    <row r="42" spans="1:15" ht="18.75" x14ac:dyDescent="0.25">
      <c r="A42" s="179"/>
      <c r="B42" s="189"/>
      <c r="C42" s="18">
        <v>30</v>
      </c>
      <c r="D42" s="279"/>
      <c r="E42" s="280"/>
      <c r="F42" s="242"/>
      <c r="G42" s="167"/>
      <c r="H42" s="167"/>
      <c r="I42" s="243"/>
      <c r="J42" s="271"/>
      <c r="K42" s="271"/>
      <c r="L42" s="272"/>
      <c r="M42" s="207"/>
      <c r="N42" s="208"/>
      <c r="O42" s="209"/>
    </row>
    <row r="43" spans="1:15" ht="18.75" x14ac:dyDescent="0.25">
      <c r="A43" s="179"/>
      <c r="B43" s="189"/>
      <c r="C43" s="18">
        <v>35</v>
      </c>
      <c r="D43" s="279"/>
      <c r="E43" s="280"/>
      <c r="F43" s="242"/>
      <c r="G43" s="167"/>
      <c r="H43" s="167"/>
      <c r="I43" s="243"/>
      <c r="J43" s="271"/>
      <c r="K43" s="271"/>
      <c r="L43" s="272"/>
      <c r="M43" s="207"/>
      <c r="N43" s="208"/>
      <c r="O43" s="209"/>
    </row>
    <row r="44" spans="1:15" ht="18.75" x14ac:dyDescent="0.25">
      <c r="A44" s="179"/>
      <c r="B44" s="189"/>
      <c r="C44" s="18">
        <v>40</v>
      </c>
      <c r="D44" s="279"/>
      <c r="E44" s="280"/>
      <c r="F44" s="242"/>
      <c r="G44" s="167"/>
      <c r="H44" s="167"/>
      <c r="I44" s="243"/>
      <c r="J44" s="271"/>
      <c r="K44" s="271"/>
      <c r="L44" s="272"/>
      <c r="M44" s="207"/>
      <c r="N44" s="208"/>
      <c r="O44" s="209"/>
    </row>
    <row r="45" spans="1:15" ht="19.5" thickBot="1" x14ac:dyDescent="0.3">
      <c r="A45" s="179"/>
      <c r="B45" s="203"/>
      <c r="C45" s="19">
        <v>45</v>
      </c>
      <c r="D45" s="281"/>
      <c r="E45" s="282"/>
      <c r="F45" s="244"/>
      <c r="G45" s="245"/>
      <c r="H45" s="245"/>
      <c r="I45" s="246"/>
      <c r="J45" s="273"/>
      <c r="K45" s="273"/>
      <c r="L45" s="274"/>
      <c r="M45" s="261"/>
      <c r="N45" s="262"/>
      <c r="O45" s="263"/>
    </row>
    <row r="47" spans="1:15" ht="9.75" customHeight="1" x14ac:dyDescent="0.25">
      <c r="I47" s="142"/>
      <c r="J47" s="143"/>
      <c r="K47" s="143"/>
      <c r="L47" s="143"/>
      <c r="M47" s="143"/>
      <c r="N47" s="143"/>
      <c r="O47" s="143"/>
    </row>
    <row r="49" spans="2:14" ht="18.75" x14ac:dyDescent="0.25">
      <c r="I49" s="145">
        <v>11</v>
      </c>
      <c r="J49" s="145">
        <v>12</v>
      </c>
      <c r="K49" s="145"/>
      <c r="L49" s="145"/>
      <c r="M49" s="145">
        <v>13</v>
      </c>
      <c r="N49" s="145"/>
    </row>
    <row r="50" spans="2:14" ht="18.75" x14ac:dyDescent="0.3">
      <c r="I50" s="144"/>
      <c r="J50" s="145"/>
      <c r="K50" s="145"/>
      <c r="L50" s="145"/>
      <c r="M50" s="145"/>
      <c r="N50" s="145"/>
    </row>
    <row r="55" spans="2:14" x14ac:dyDescent="0.25">
      <c r="B55" s="39" t="s">
        <v>53</v>
      </c>
    </row>
  </sheetData>
  <mergeCells count="60">
    <mergeCell ref="J39:L45"/>
    <mergeCell ref="B27:B32"/>
    <mergeCell ref="B33:B38"/>
    <mergeCell ref="F33:I38"/>
    <mergeCell ref="F27:F28"/>
    <mergeCell ref="G29:G30"/>
    <mergeCell ref="I31:I32"/>
    <mergeCell ref="L37:L38"/>
    <mergeCell ref="D9:E45"/>
    <mergeCell ref="L25:L26"/>
    <mergeCell ref="J27:J28"/>
    <mergeCell ref="K29:K30"/>
    <mergeCell ref="L31:L32"/>
    <mergeCell ref="J33:J34"/>
    <mergeCell ref="K35:K36"/>
    <mergeCell ref="K11:K12"/>
    <mergeCell ref="C23:C24"/>
    <mergeCell ref="C25:C26"/>
    <mergeCell ref="F21:F22"/>
    <mergeCell ref="G23:G24"/>
    <mergeCell ref="J15:J16"/>
    <mergeCell ref="J21:J22"/>
    <mergeCell ref="I25:I26"/>
    <mergeCell ref="J9:J10"/>
    <mergeCell ref="J6:L6"/>
    <mergeCell ref="M6:O6"/>
    <mergeCell ref="D8:E8"/>
    <mergeCell ref="F8:I8"/>
    <mergeCell ref="J8:L8"/>
    <mergeCell ref="M8:O8"/>
    <mergeCell ref="F9:F10"/>
    <mergeCell ref="M9:O45"/>
    <mergeCell ref="L13:L14"/>
    <mergeCell ref="L19:L20"/>
    <mergeCell ref="K23:K24"/>
    <mergeCell ref="F15:F16"/>
    <mergeCell ref="G17:G18"/>
    <mergeCell ref="I19:I20"/>
    <mergeCell ref="K17:K18"/>
    <mergeCell ref="C2:N2"/>
    <mergeCell ref="D5:E5"/>
    <mergeCell ref="F5:I5"/>
    <mergeCell ref="J5:L5"/>
    <mergeCell ref="M5:O5"/>
    <mergeCell ref="A6:A45"/>
    <mergeCell ref="B6:B8"/>
    <mergeCell ref="C6:C8"/>
    <mergeCell ref="D6:E6"/>
    <mergeCell ref="F6:I6"/>
    <mergeCell ref="I13:I14"/>
    <mergeCell ref="B9:B14"/>
    <mergeCell ref="C11:C12"/>
    <mergeCell ref="C13:C14"/>
    <mergeCell ref="G11:G12"/>
    <mergeCell ref="B39:B45"/>
    <mergeCell ref="F39:I45"/>
    <mergeCell ref="B15:B20"/>
    <mergeCell ref="C17:C18"/>
    <mergeCell ref="C19:C20"/>
    <mergeCell ref="B21:B2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Scoring Interno</vt:lpstr>
      <vt:lpstr>Sub variables gral</vt:lpstr>
      <vt:lpstr>Sub variables Buro</vt:lpstr>
      <vt:lpstr>Sub variables catalogo</vt:lpstr>
      <vt:lpstr>MATRIZ DE RIESGO % RESUMEN</vt:lpstr>
      <vt:lpstr>MATRIZ DE RIESGO $ 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rafael cabañas</cp:lastModifiedBy>
  <dcterms:created xsi:type="dcterms:W3CDTF">2025-08-01T16:44:47Z</dcterms:created>
  <dcterms:modified xsi:type="dcterms:W3CDTF">2026-03-07T03:12:46Z</dcterms:modified>
</cp:coreProperties>
</file>