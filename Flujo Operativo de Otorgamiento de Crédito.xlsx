
<file path=[Content_Types].xml><?xml version="1.0" encoding="utf-8"?>
<Types xmlns="http://schemas.openxmlformats.org/package/2006/content-types">
  <Default Extension="tmp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os\Desktop\Mzo 25 en adelante\CONSULTORIA MTY\"/>
    </mc:Choice>
  </mc:AlternateContent>
  <bookViews>
    <workbookView xWindow="0" yWindow="0" windowWidth="20490" windowHeight="7650" tabRatio="904"/>
  </bookViews>
  <sheets>
    <sheet name="Flujo General" sheetId="11" r:id="rId1"/>
    <sheet name="Flujo detalle Otorgamiento" sheetId="8" r:id="rId2"/>
    <sheet name="Resultado Otorgamiento " sheetId="9" r:id="rId3"/>
    <sheet name="Solicitud de Crédito" sheetId="3" r:id="rId4"/>
    <sheet name="Análisis Financiero " sheetId="5" r:id="rId5"/>
    <sheet name="Historial Crediticio" sheetId="7" r:id="rId6"/>
    <sheet name="Scoring de Otorgamiento" sheetId="6" r:id="rId7"/>
    <sheet name="PE" sheetId="10" r:id="rId8"/>
    <sheet name="PLD Sofware" sheetId="2" r:id="rId9"/>
    <sheet name="Despegables" sheetId="4" r:id="rId10"/>
  </sheets>
  <externalReferences>
    <externalReference r:id="rId11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10" l="1"/>
  <c r="H21" i="10" s="1"/>
  <c r="G21" i="10"/>
  <c r="B4" i="10" s="1"/>
  <c r="E22" i="10"/>
  <c r="H22" i="10" s="1"/>
  <c r="G22" i="10"/>
  <c r="E23" i="10"/>
  <c r="H23" i="10" s="1"/>
  <c r="G23" i="10"/>
  <c r="E24" i="10"/>
  <c r="H24" i="10" s="1"/>
  <c r="G24" i="10"/>
  <c r="E25" i="10"/>
  <c r="H25" i="10" s="1"/>
  <c r="G25" i="10"/>
  <c r="E26" i="10"/>
  <c r="H26" i="10" s="1"/>
  <c r="G26" i="10"/>
  <c r="E27" i="10"/>
  <c r="H27" i="10" s="1"/>
  <c r="G27" i="10"/>
  <c r="E28" i="10"/>
  <c r="H28" i="10" s="1"/>
  <c r="G28" i="10"/>
  <c r="E29" i="10"/>
  <c r="H29" i="10" s="1"/>
  <c r="G29" i="10"/>
  <c r="B5" i="10" l="1"/>
  <c r="B6" i="10" s="1"/>
  <c r="C13" i="6" l="1"/>
  <c r="C8" i="9"/>
  <c r="C6" i="9"/>
  <c r="D12" i="6" l="1"/>
  <c r="D13" i="6" s="1"/>
  <c r="C9" i="9" s="1"/>
  <c r="K16" i="6" l="1"/>
  <c r="C12" i="6"/>
  <c r="B16" i="6" s="1"/>
  <c r="D11" i="6"/>
  <c r="D10" i="6"/>
  <c r="D9" i="6"/>
  <c r="D8" i="6"/>
  <c r="D7" i="6"/>
  <c r="D7" i="7"/>
  <c r="E17" i="3"/>
  <c r="E18" i="3"/>
  <c r="E19" i="3"/>
  <c r="E20" i="3"/>
  <c r="E21" i="3"/>
  <c r="E16" i="3"/>
  <c r="E11" i="3"/>
  <c r="E9" i="3"/>
  <c r="E8" i="3"/>
  <c r="E7" i="3"/>
  <c r="E6" i="3"/>
  <c r="C20" i="5"/>
  <c r="F20" i="5"/>
  <c r="F19" i="5"/>
  <c r="K15" i="4"/>
  <c r="J15" i="4"/>
  <c r="K14" i="4"/>
  <c r="J14" i="4"/>
  <c r="C19" i="5"/>
  <c r="F10" i="5"/>
  <c r="F8" i="5"/>
  <c r="E10" i="5"/>
  <c r="E8" i="5"/>
  <c r="E12" i="3"/>
  <c r="E10" i="3"/>
  <c r="C10" i="5"/>
  <c r="C8" i="5"/>
  <c r="C16" i="6" l="1"/>
  <c r="E16" i="6" s="1"/>
  <c r="F21" i="5"/>
  <c r="F11" i="5"/>
  <c r="E13" i="3"/>
  <c r="E22" i="3"/>
</calcChain>
</file>

<file path=xl/comments1.xml><?xml version="1.0" encoding="utf-8"?>
<comments xmlns="http://schemas.openxmlformats.org/spreadsheetml/2006/main">
  <authors>
    <author>Usuario de Windows</author>
  </authors>
  <commentList>
    <comment ref="E15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Espacio Vacio
</t>
        </r>
      </text>
    </comment>
  </commentList>
</comments>
</file>

<file path=xl/comments2.xml><?xml version="1.0" encoding="utf-8"?>
<comments xmlns="http://schemas.openxmlformats.org/spreadsheetml/2006/main">
  <authors>
    <author>Usuario de Windows</author>
  </authors>
  <commentList>
    <comment ref="E20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Pérdida Esperada
</t>
        </r>
      </text>
    </comment>
    <comment ref="F20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LGD = Severidad de la pérdida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EAD = Exposición por el incumplimiento</t>
        </r>
      </text>
    </comment>
  </commentList>
</comments>
</file>

<file path=xl/comments3.xml><?xml version="1.0" encoding="utf-8"?>
<comments xmlns="http://schemas.openxmlformats.org/spreadsheetml/2006/main">
  <authors>
    <author>Usuario de Windows</author>
  </authors>
  <commentList>
    <comment ref="I5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Pensando en riesgo delincuencial
</t>
        </r>
      </text>
    </comment>
  </commentList>
</comments>
</file>

<file path=xl/sharedStrings.xml><?xml version="1.0" encoding="utf-8"?>
<sst xmlns="http://schemas.openxmlformats.org/spreadsheetml/2006/main" count="368" uniqueCount="252">
  <si>
    <t xml:space="preserve">Flujo Operativo </t>
  </si>
  <si>
    <t xml:space="preserve">Otorgamiento de Línea de Crédito a 45 Días </t>
  </si>
  <si>
    <t>Disposiciones de Carácter Genenral en Materia de PLD / FT (DCG) emitidas por la CNBV</t>
  </si>
  <si>
    <t xml:space="preserve">Obligacion PLD </t>
  </si>
  <si>
    <t xml:space="preserve">Modulo </t>
  </si>
  <si>
    <t>A</t>
  </si>
  <si>
    <t>Módulo de Identificación y conocimiento del cliente (KYC)</t>
  </si>
  <si>
    <t>Detalle</t>
  </si>
  <si>
    <t>Captura Estructurada de Información de Clientes (personas físicas y morales)</t>
  </si>
  <si>
    <t>Digitalización y resguardo de documentos KYC ( INE, Actas, RFC, Comprobantes, etc)</t>
  </si>
  <si>
    <t xml:space="preserve">Validación automática de campos obligatorios </t>
  </si>
  <si>
    <t>Clasificación Inicial del Cliente (Según tipo, actividad y zona geográfica)</t>
  </si>
  <si>
    <t>Asignación automática de nivel de riesgo (bajo, medio, alto) mediante una matriz configurable.</t>
  </si>
  <si>
    <t>B</t>
  </si>
  <si>
    <t>Módulo de listas oficiales y PEPs</t>
  </si>
  <si>
    <t>Conexión o actualización automática con listas  de Personas Bloqueadas (UIF)</t>
  </si>
  <si>
    <t>Conexión o actualización automática con listas  de Personas Bloqueadas 
OFAC/ONU/UE/FinCEN/Interpol, etc</t>
  </si>
  <si>
    <t xml:space="preserve">Registro de Fecha y resultado de cada validación </t>
  </si>
  <si>
    <t>Identificación y tratamiento de PEPs nacionales y extranjeras</t>
  </si>
  <si>
    <t>C</t>
  </si>
  <si>
    <t xml:space="preserve">Monitoreo de Operaciones y Alertas </t>
  </si>
  <si>
    <t>Registrar todas las operaciones relevantes (&gt;= USD 10,000 aprox. O su rquivalente en MXN)</t>
  </si>
  <si>
    <t>Permitir la configuración de parámetros y umbrales personalizados (por cliente o por segmento)</t>
  </si>
  <si>
    <t>Detectar operaciones inusuales o atípicas según patrones de comportamiento</t>
  </si>
  <si>
    <t xml:space="preserve">Emitir alertas automáticas y bitácora de seguimiento para el oficial de cumplimiento </t>
  </si>
  <si>
    <t>Generar automáticamente los reportes RELEVANTES INUSUALES e INTERNAS PREOCUPANTES</t>
  </si>
  <si>
    <t>D</t>
  </si>
  <si>
    <t>Reportes y Envíos a la CNBV/UIF</t>
  </si>
  <si>
    <t>Capacidad de generar archivos XML y reportes compatibles con los formatos oficiales de CNBV (Sistema de reportes en Línea - SITI CNBV)</t>
  </si>
  <si>
    <t xml:space="preserve">Registro Histórico de reportes enviados, fechas u acuses </t>
  </si>
  <si>
    <t xml:space="preserve">Validación de consistencia y errores antes del envío </t>
  </si>
  <si>
    <t>E</t>
  </si>
  <si>
    <t>Auditoría, Control Interno y Evidencia</t>
  </si>
  <si>
    <t>Bitácora inalterable de todas las acciones (logs, usuarios, fechas, cambios)</t>
  </si>
  <si>
    <t>Control de acceso por roles (Administrador, Cumplimiento, Auditoría, Usuario)</t>
  </si>
  <si>
    <t>Reporte de Aurditoría automatizado (quien modifico que, cuando y por qu´q)</t>
  </si>
  <si>
    <t>Capacidad de conservar información mínima de 10 años</t>
  </si>
  <si>
    <t>F</t>
  </si>
  <si>
    <t xml:space="preserve">Capacitación y Documentación </t>
  </si>
  <si>
    <t xml:space="preserve">Módulo o registro Interno donde se documente la capacitación anual en PLD del personal </t>
  </si>
  <si>
    <t>Historial de cumplimiento de obligaciones (fechas, responsables, evidencias)</t>
  </si>
  <si>
    <t>Numeral CNBV</t>
  </si>
  <si>
    <t>2. Requerimientos Funcionales (lo que hace el sistema)</t>
  </si>
  <si>
    <t>Etiqueta</t>
  </si>
  <si>
    <t>Tipo de Dato</t>
  </si>
  <si>
    <t>Ejemplo</t>
  </si>
  <si>
    <t>Información del Solicitante</t>
  </si>
  <si>
    <t>Razón Social:</t>
  </si>
  <si>
    <t>Texto</t>
  </si>
  <si>
    <t>Empresa Ejemplo S.A.</t>
  </si>
  <si>
    <t>RFC:</t>
  </si>
  <si>
    <t>ABC123456XYZ</t>
  </si>
  <si>
    <t>Representante Legal:</t>
  </si>
  <si>
    <t>Juan Pérez</t>
  </si>
  <si>
    <t>Antigüedad del Negocio (años):</t>
  </si>
  <si>
    <t>Número</t>
  </si>
  <si>
    <t>Contacto:</t>
  </si>
  <si>
    <t>55 1234 5678</t>
  </si>
  <si>
    <t>Giro del Negocio</t>
  </si>
  <si>
    <t>Ubicación:</t>
  </si>
  <si>
    <t xml:space="preserve">Fuentes de Información </t>
  </si>
  <si>
    <t>Reporte de Buro de Crédito</t>
  </si>
  <si>
    <t>Despegable</t>
  </si>
  <si>
    <t xml:space="preserve">Estados de Cuenta Bancario </t>
  </si>
  <si>
    <t>Comprobante de Domicilio de la empresa</t>
  </si>
  <si>
    <t>Identificación Oficial Representante Legal</t>
  </si>
  <si>
    <t>Acta Constitutiva</t>
  </si>
  <si>
    <t xml:space="preserve">Constancia de Situación Fiscal </t>
  </si>
  <si>
    <t>SOLICITUD DE CRÉDITO</t>
  </si>
  <si>
    <t>Si</t>
  </si>
  <si>
    <t>No</t>
  </si>
  <si>
    <t>Valor (Ejemplo)</t>
  </si>
  <si>
    <t>Fórmula / Descripción</t>
  </si>
  <si>
    <t>Estado de Resultados (último mes)</t>
  </si>
  <si>
    <t>Ventas Netas ($):</t>
  </si>
  <si>
    <t>Costo de Ventas ($):</t>
  </si>
  <si>
    <t>Utilidad Bruta ($):</t>
  </si>
  <si>
    <t>Gastos de Operación ($):</t>
  </si>
  <si>
    <t>Utilidad de Operación ($):</t>
  </si>
  <si>
    <t>Balance General</t>
  </si>
  <si>
    <t>Cuentas por Cobrar ($):</t>
  </si>
  <si>
    <t>Inventario ($):</t>
  </si>
  <si>
    <t>Pasivos a Corto Plazo ($):</t>
  </si>
  <si>
    <t>Indicadores Financieros</t>
  </si>
  <si>
    <t>Razón de Liquidez (Capital de Trabajo):</t>
  </si>
  <si>
    <t>Margen de Utilidad Operativa:</t>
  </si>
  <si>
    <t>=B6 - B7</t>
  </si>
  <si>
    <t>=B8-B9</t>
  </si>
  <si>
    <t>=B10/B6</t>
  </si>
  <si>
    <t>ANALISIS FINANCIERO</t>
  </si>
  <si>
    <t>Criterio</t>
  </si>
  <si>
    <t>Ponderación</t>
  </si>
  <si>
    <t>Puntaje Parcial</t>
  </si>
  <si>
    <t>Modelo de Scoring Rápido</t>
  </si>
  <si>
    <t>4. Historial Crediticio (Buró)</t>
  </si>
  <si>
    <t>Puntuación Total:</t>
  </si>
  <si>
    <t>Recomendación:</t>
  </si>
  <si>
    <t>Variable</t>
  </si>
  <si>
    <t xml:space="preserve">Giro del negocio </t>
  </si>
  <si>
    <t xml:space="preserve">Zona / Ubicación </t>
  </si>
  <si>
    <t>Calificación Interna</t>
  </si>
  <si>
    <t xml:space="preserve">Construcción </t>
  </si>
  <si>
    <t>Sub Variable</t>
  </si>
  <si>
    <t xml:space="preserve">Puntuación </t>
  </si>
  <si>
    <t>Asignación de puntuación de cuerdo al tipo de negocio al que se otroga el crédito, con criterios de generación de flujos de efectivo.</t>
  </si>
  <si>
    <t xml:space="preserve">Manufactura </t>
  </si>
  <si>
    <t>Transporte</t>
  </si>
  <si>
    <t xml:space="preserve">Comercial </t>
  </si>
  <si>
    <t>Industrial</t>
  </si>
  <si>
    <t>Servicios</t>
  </si>
  <si>
    <t>Fronteriza</t>
  </si>
  <si>
    <t xml:space="preserve">Asignación de puntuación de acuerdo a la ubicación donde se encuentre el negocio </t>
  </si>
  <si>
    <t xml:space="preserve">Zona comercial </t>
  </si>
  <si>
    <t>Zona industrial</t>
  </si>
  <si>
    <t>%</t>
  </si>
  <si>
    <t xml:space="preserve">Utilidad Buta </t>
  </si>
  <si>
    <t xml:space="preserve">Utilidad de Operación </t>
  </si>
  <si>
    <t>Estado de resultados</t>
  </si>
  <si>
    <t>% Resultado</t>
  </si>
  <si>
    <t xml:space="preserve">De </t>
  </si>
  <si>
    <t>De 1% a 10%</t>
  </si>
  <si>
    <t>de 11% a 20%</t>
  </si>
  <si>
    <t>de 21% a 30%</t>
  </si>
  <si>
    <t>de 31% a 40%</t>
  </si>
  <si>
    <t>de 41% a 50%</t>
  </si>
  <si>
    <t>De 50% en adelante</t>
  </si>
  <si>
    <t>=(B14+B15)/B16</t>
  </si>
  <si>
    <t xml:space="preserve">Media </t>
  </si>
  <si>
    <t>Baja</t>
  </si>
  <si>
    <t>Puede variar de acuerdo al giro de la empresa</t>
  </si>
  <si>
    <t xml:space="preserve"> Resultado</t>
  </si>
  <si>
    <t xml:space="preserve">Alta </t>
  </si>
  <si>
    <t>Razón de Liquidez</t>
  </si>
  <si>
    <t>Margen de utilidad operativa</t>
  </si>
  <si>
    <t>De 0% a 1%</t>
  </si>
  <si>
    <t>de 1.1% a 1.5%</t>
  </si>
  <si>
    <t>de 1.5% a 2.5%</t>
  </si>
  <si>
    <t xml:space="preserve"> Resultado (%)</t>
  </si>
  <si>
    <t xml:space="preserve">Promedio </t>
  </si>
  <si>
    <t>Fuerte</t>
  </si>
  <si>
    <t>Excelente</t>
  </si>
  <si>
    <t>De 0% a 9%</t>
  </si>
  <si>
    <t>De 10% a 15%</t>
  </si>
  <si>
    <t>de 16% a 20%</t>
  </si>
  <si>
    <t>de 21% en adelante</t>
  </si>
  <si>
    <t>1. Información del solicitante</t>
  </si>
  <si>
    <t>2. Fuentes de Información</t>
  </si>
  <si>
    <t>3. Estado de Resultados</t>
  </si>
  <si>
    <t>4. Indicadores Financieros</t>
  </si>
  <si>
    <t>Buro de crédito del año en curso</t>
  </si>
  <si>
    <t xml:space="preserve">Variable </t>
  </si>
  <si>
    <t xml:space="preserve">Calificación </t>
  </si>
  <si>
    <t xml:space="preserve">Score Buró de Crédito </t>
  </si>
  <si>
    <t xml:space="preserve">Score de Buro de Crédito  </t>
  </si>
  <si>
    <t>De 0 a 600</t>
  </si>
  <si>
    <t>de 601 a 700</t>
  </si>
  <si>
    <t>de 701</t>
  </si>
  <si>
    <t>Historial Crediticio</t>
  </si>
  <si>
    <t xml:space="preserve">Scoring de Otorgamiento </t>
  </si>
  <si>
    <t>META SCORING</t>
  </si>
  <si>
    <t>% AVANCE</t>
  </si>
  <si>
    <t>Vacio</t>
  </si>
  <si>
    <t>Colores</t>
  </si>
  <si>
    <t>Rojo</t>
  </si>
  <si>
    <t>Naranja</t>
  </si>
  <si>
    <t xml:space="preserve">Amarillo </t>
  </si>
  <si>
    <t>Verde</t>
  </si>
  <si>
    <t>Total</t>
  </si>
  <si>
    <t>Ancho Linea</t>
  </si>
  <si>
    <t>1% a 49%</t>
  </si>
  <si>
    <t>No aprobado</t>
  </si>
  <si>
    <t>60% a 100%</t>
  </si>
  <si>
    <t>Aprobado</t>
  </si>
  <si>
    <t>CLIENTE</t>
  </si>
  <si>
    <t>SOFWARE</t>
  </si>
  <si>
    <t>Valor</t>
  </si>
  <si>
    <t>Origen</t>
  </si>
  <si>
    <t>Decisión de Crédito</t>
  </si>
  <si>
    <t>Solicitante:</t>
  </si>
  <si>
    <t>Monto Solicitado:</t>
  </si>
  <si>
    <t>Score de Otorgamiento :</t>
  </si>
  <si>
    <t>Resultado de otorgamiento</t>
  </si>
  <si>
    <t>=D6,Solicitud de Crédito</t>
  </si>
  <si>
    <t xml:space="preserve">Pantalla de reistro de cred solicitado </t>
  </si>
  <si>
    <t>=D12, Scoring de Otorgamiento</t>
  </si>
  <si>
    <t>=D13,Scoring de Otorgamiento</t>
  </si>
  <si>
    <t>Requisición de Cumplimientos PLD (Lo que debe contener el sofware)</t>
  </si>
  <si>
    <t xml:space="preserve">Documentación necesaria para Soportar la Autorización </t>
  </si>
  <si>
    <t xml:space="preserve">Consecutivo </t>
  </si>
  <si>
    <t>Evidencia Técnica y Documental para validar su cumplimiento</t>
  </si>
  <si>
    <t xml:space="preserve">Manual de PLD Actualizado </t>
  </si>
  <si>
    <t xml:space="preserve">Documento </t>
  </si>
  <si>
    <t>Describa el uso del sistema</t>
  </si>
  <si>
    <t>Especifique procesos automatizados, validaciones y flujos</t>
  </si>
  <si>
    <t xml:space="preserve">Identifique responsables y periodicidades </t>
  </si>
  <si>
    <t>Manual Técnico o Documento de Arquitectura del sistema</t>
  </si>
  <si>
    <t>Infraestructura tecnológica (servidores, nube, seguridad, backups)</t>
  </si>
  <si>
    <t>Integraciones con otros sistemas (core financiero o CRM)</t>
  </si>
  <si>
    <t>Protocolos de seguridad (encriptación , control de accesos, logs)</t>
  </si>
  <si>
    <t xml:space="preserve">Bitacora de validaciones y pruebas </t>
  </si>
  <si>
    <t>Evidencia de que el sistema genera alertas, reportes, y realiza screening correctamente</t>
  </si>
  <si>
    <t>Informe de Auditoría Interna o Externa PLD</t>
  </si>
  <si>
    <t>validando que el sistema cumple con los requisitos de la CNBV</t>
  </si>
  <si>
    <t>Cliente I</t>
  </si>
  <si>
    <t>Cliente H</t>
  </si>
  <si>
    <t>Cliente G</t>
  </si>
  <si>
    <t>Cliente F</t>
  </si>
  <si>
    <t>Cliente E</t>
  </si>
  <si>
    <t>Cliente D</t>
  </si>
  <si>
    <t>Cliente C</t>
  </si>
  <si>
    <t>Cliente B</t>
  </si>
  <si>
    <t>Cliente A</t>
  </si>
  <si>
    <t>Pérdida Esperada 
(PE = PD*EAD*LGD)</t>
  </si>
  <si>
    <t>EAD (Individual )</t>
  </si>
  <si>
    <t>LGD (Asumida) (%)</t>
  </si>
  <si>
    <t>PD (Individual ) (%)</t>
  </si>
  <si>
    <t xml:space="preserve">Días en Mora </t>
  </si>
  <si>
    <t xml:space="preserve">Saldo Utilizado </t>
  </si>
  <si>
    <t xml:space="preserve">Límite de Crédito </t>
  </si>
  <si>
    <t xml:space="preserve">Cliente </t>
  </si>
  <si>
    <t xml:space="preserve">Es importante incluir todas las variables de cálculo </t>
  </si>
  <si>
    <t xml:space="preserve">DESARROLLO DE LA BASE DE DATOS DE CLIENTES </t>
  </si>
  <si>
    <t xml:space="preserve">RESULTADOS TOTAL DE SEGUIMIENTO </t>
  </si>
  <si>
    <t xml:space="preserve">Indicador </t>
  </si>
  <si>
    <t xml:space="preserve">Valor </t>
  </si>
  <si>
    <t>Exposición Total  (EAD)</t>
  </si>
  <si>
    <t xml:space="preserve">Pérdida Esperada Total </t>
  </si>
  <si>
    <t>% de Pérdida Esperada</t>
  </si>
  <si>
    <t>FORMULA</t>
  </si>
  <si>
    <t>PE</t>
  </si>
  <si>
    <t>Pérdida Esperada</t>
  </si>
  <si>
    <t>PD</t>
  </si>
  <si>
    <t>Probabilidad de Incumplimiento</t>
  </si>
  <si>
    <t>EAD</t>
  </si>
  <si>
    <t xml:space="preserve">Exposición en el incumplimiento </t>
  </si>
  <si>
    <t>LGD</t>
  </si>
  <si>
    <t xml:space="preserve">Severidad de Pérdida </t>
  </si>
  <si>
    <t>PE= PD * EAD * LGD</t>
  </si>
  <si>
    <t xml:space="preserve">ANALISIS DE RIESGO CREDITICIO </t>
  </si>
  <si>
    <t>Recolección de Datos</t>
  </si>
  <si>
    <t>Datos Internos (sistema)</t>
  </si>
  <si>
    <t>Datos Externos (Verificación)</t>
  </si>
  <si>
    <t xml:space="preserve">Estructura </t>
  </si>
  <si>
    <t xml:space="preserve">Tecnología / Desarrollo </t>
  </si>
  <si>
    <t>Construcción del Scoring crediticio</t>
  </si>
  <si>
    <t>Cálculo del puntaje</t>
  </si>
  <si>
    <t>¿Aprobado?</t>
  </si>
  <si>
    <t>Préstamo Rechazado</t>
  </si>
  <si>
    <t>Inicia flujo de Otorgamiento</t>
  </si>
  <si>
    <t>Monitoreo del comportamiento  / Otras Opciones</t>
  </si>
  <si>
    <t>SI</t>
  </si>
  <si>
    <t>Evaluación y Aprobación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</si>
</sst>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56595E"/>
      <name val="Arial"/>
      <family val="2"/>
    </font>
    <font>
      <sz val="9"/>
      <color rgb="FF56595E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.5"/>
      <color rgb="FF56595E"/>
      <name val="Courier New"/>
      <family val="3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4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rgb="FFDCDFE5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double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/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0" fillId="0" borderId="3" xfId="0" applyBorder="1"/>
    <xf numFmtId="0" fontId="8" fillId="0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4" fontId="8" fillId="0" borderId="3" xfId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44" fontId="7" fillId="4" borderId="3" xfId="1" applyFont="1" applyFill="1" applyBorder="1" applyAlignment="1">
      <alignment horizontal="center" vertical="center" wrapText="1"/>
    </xf>
    <xf numFmtId="44" fontId="7" fillId="4" borderId="3" xfId="0" quotePrefix="1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44" fontId="7" fillId="0" borderId="0" xfId="1" applyFont="1" applyFill="1" applyBorder="1" applyAlignment="1">
      <alignment horizontal="center" vertical="center" wrapText="1"/>
    </xf>
    <xf numFmtId="44" fontId="7" fillId="0" borderId="0" xfId="0" quotePrefix="1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4" fillId="6" borderId="3" xfId="0" applyFont="1" applyFill="1" applyBorder="1"/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 indent="1"/>
    </xf>
    <xf numFmtId="44" fontId="6" fillId="0" borderId="0" xfId="1" applyFont="1" applyBorder="1" applyAlignment="1">
      <alignment horizontal="left" vertical="center" wrapText="1" indent="1"/>
    </xf>
    <xf numFmtId="0" fontId="0" fillId="0" borderId="0" xfId="0" applyBorder="1" applyAlignment="1">
      <alignment vertical="top" wrapText="1"/>
    </xf>
    <xf numFmtId="9" fontId="7" fillId="4" borderId="3" xfId="2" quotePrefix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  <xf numFmtId="9" fontId="0" fillId="0" borderId="3" xfId="0" applyNumberForma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9" fontId="7" fillId="4" borderId="3" xfId="2" applyFont="1" applyFill="1" applyBorder="1" applyAlignment="1">
      <alignment horizontal="center" vertical="center" wrapText="1"/>
    </xf>
    <xf numFmtId="10" fontId="7" fillId="4" borderId="3" xfId="1" applyNumberFormat="1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10" fontId="0" fillId="0" borderId="3" xfId="2" applyNumberFormat="1" applyFont="1" applyBorder="1" applyAlignment="1">
      <alignment horizontal="center" vertical="center"/>
    </xf>
    <xf numFmtId="9" fontId="0" fillId="0" borderId="3" xfId="2" applyNumberFormat="1" applyFont="1" applyBorder="1" applyAlignment="1">
      <alignment horizontal="center" vertical="center"/>
    </xf>
    <xf numFmtId="0" fontId="0" fillId="0" borderId="3" xfId="0" applyFill="1" applyBorder="1" applyAlignment="1">
      <alignment vertical="center" wrapText="1"/>
    </xf>
    <xf numFmtId="9" fontId="7" fillId="0" borderId="0" xfId="2" applyFont="1" applyFill="1" applyBorder="1" applyAlignment="1">
      <alignment horizontal="center" vertical="center" wrapText="1"/>
    </xf>
    <xf numFmtId="1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" fontId="0" fillId="0" borderId="3" xfId="2" applyNumberFormat="1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 indent="1"/>
    </xf>
    <xf numFmtId="0" fontId="5" fillId="5" borderId="2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1" fontId="0" fillId="4" borderId="3" xfId="2" applyNumberFormat="1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4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9" fontId="5" fillId="5" borderId="2" xfId="2" applyFont="1" applyFill="1" applyBorder="1" applyAlignment="1">
      <alignment horizontal="center" vertical="center" wrapText="1"/>
    </xf>
    <xf numFmtId="0" fontId="0" fillId="0" borderId="24" xfId="0" applyBorder="1"/>
    <xf numFmtId="9" fontId="0" fillId="0" borderId="24" xfId="0" applyNumberForma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6" fillId="0" borderId="3" xfId="0" applyFont="1" applyBorder="1" applyAlignment="1">
      <alignment horizontal="left" vertical="center" wrapText="1" indent="1"/>
    </xf>
    <xf numFmtId="0" fontId="20" fillId="0" borderId="3" xfId="0" applyFont="1" applyBorder="1" applyAlignment="1">
      <alignment vertical="center" wrapText="1"/>
    </xf>
    <xf numFmtId="8" fontId="6" fillId="0" borderId="3" xfId="0" applyNumberFormat="1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20" fillId="0" borderId="3" xfId="0" quotePrefix="1" applyFont="1" applyBorder="1" applyAlignment="1">
      <alignment vertical="center" wrapText="1"/>
    </xf>
    <xf numFmtId="0" fontId="1" fillId="2" borderId="25" xfId="0" applyFont="1" applyFill="1" applyBorder="1" applyAlignment="1">
      <alignment horizontal="center" vertical="center"/>
    </xf>
    <xf numFmtId="0" fontId="3" fillId="0" borderId="0" xfId="0" applyFont="1"/>
    <xf numFmtId="164" fontId="0" fillId="0" borderId="1" xfId="1" applyNumberFormat="1" applyFont="1" applyBorder="1"/>
    <xf numFmtId="9" fontId="0" fillId="0" borderId="1" xfId="2" applyFont="1" applyBorder="1"/>
    <xf numFmtId="0" fontId="0" fillId="0" borderId="1" xfId="0" applyBorder="1"/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9" fontId="1" fillId="6" borderId="1" xfId="2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164" fontId="0" fillId="0" borderId="1" xfId="1" applyNumberFormat="1" applyFont="1" applyBorder="1" applyAlignment="1">
      <alignment vertical="center"/>
    </xf>
    <xf numFmtId="9" fontId="0" fillId="0" borderId="1" xfId="2" applyFont="1" applyBorder="1" applyAlignment="1">
      <alignment vertical="center"/>
    </xf>
    <xf numFmtId="0" fontId="3" fillId="5" borderId="0" xfId="0" applyFont="1" applyFill="1"/>
    <xf numFmtId="0" fontId="0" fillId="0" borderId="0" xfId="0" applyBorder="1"/>
    <xf numFmtId="0" fontId="17" fillId="6" borderId="0" xfId="0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0" fontId="9" fillId="5" borderId="3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11" fillId="12" borderId="0" xfId="0" applyFont="1" applyFill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/>
    <xf numFmtId="0" fontId="3" fillId="5" borderId="29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0" xfId="0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38" xfId="0" applyBorder="1" applyAlignment="1"/>
    <xf numFmtId="0" fontId="0" fillId="0" borderId="41" xfId="0" applyBorder="1" applyAlignment="1"/>
    <xf numFmtId="0" fontId="0" fillId="0" borderId="42" xfId="0" applyBorder="1" applyAlignment="1"/>
    <xf numFmtId="0" fontId="0" fillId="0" borderId="43" xfId="0" applyBorder="1" applyAlignment="1"/>
    <xf numFmtId="0" fontId="0" fillId="5" borderId="34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44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18" fillId="11" borderId="47" xfId="0" applyFont="1" applyFill="1" applyBorder="1" applyAlignment="1">
      <alignment horizontal="center"/>
    </xf>
    <xf numFmtId="0" fontId="0" fillId="0" borderId="39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3611111111111"/>
          <c:y val="0"/>
          <c:w val="0.63749999999999996"/>
          <c:h val="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CD-4749-8A5B-EB70F9005BE1}"/>
              </c:ext>
            </c:extLst>
          </c:dPt>
          <c:dPt>
            <c:idx val="1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ACD-4749-8A5B-EB70F9005BE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CD-4749-8A5B-EB70F9005BE1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ACD-4749-8A5B-EB70F9005BE1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ACD-4749-8A5B-EB70F9005BE1}"/>
              </c:ext>
            </c:extLst>
          </c:dPt>
          <c:cat>
            <c:strRef>
              <c:f>'Scoring de Otorgamiento'!$G$15:$K$15</c:f>
              <c:strCache>
                <c:ptCount val="5"/>
                <c:pt idx="0">
                  <c:v>Rojo</c:v>
                </c:pt>
                <c:pt idx="1">
                  <c:v>Naranja</c:v>
                </c:pt>
                <c:pt idx="2">
                  <c:v>Amarillo </c:v>
                </c:pt>
                <c:pt idx="3">
                  <c:v>Verde</c:v>
                </c:pt>
                <c:pt idx="4">
                  <c:v>Total</c:v>
                </c:pt>
              </c:strCache>
            </c:strRef>
          </c:cat>
          <c:val>
            <c:numRef>
              <c:f>'Scoring de Otorgamiento'!$G$16:$K$16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D-4749-8A5B-EB70F9005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v>Aguja</c:v>
          </c:tx>
          <c:spPr>
            <a:ln>
              <a:noFill/>
            </a:ln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ACD-4749-8A5B-EB70F9005BE1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DACD-4749-8A5B-EB70F9005BE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ACD-4749-8A5B-EB70F9005BE1}"/>
              </c:ext>
            </c:extLst>
          </c:dPt>
          <c:val>
            <c:numRef>
              <c:f>'Scoring de Otorgamiento'!$C$16:$E$16</c:f>
              <c:numCache>
                <c:formatCode>General</c:formatCode>
                <c:ptCount val="3"/>
                <c:pt idx="0" formatCode="0">
                  <c:v>82.222222222222214</c:v>
                </c:pt>
                <c:pt idx="1">
                  <c:v>3</c:v>
                </c:pt>
                <c:pt idx="2" formatCode="0">
                  <c:v>114.77777777777779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CD-4749-8A5B-EB70F9005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 cap="none" spc="0">
          <a:ln/>
          <a:solidFill>
            <a:schemeClr val="accent4"/>
          </a:solidFill>
          <a:effectLst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7</xdr:row>
      <xdr:rowOff>142875</xdr:rowOff>
    </xdr:from>
    <xdr:to>
      <xdr:col>4</xdr:col>
      <xdr:colOff>200025</xdr:colOff>
      <xdr:row>11</xdr:row>
      <xdr:rowOff>104775</xdr:rowOff>
    </xdr:to>
    <xdr:sp macro="" textlink="">
      <xdr:nvSpPr>
        <xdr:cNvPr id="2" name="Rombo 1"/>
        <xdr:cNvSpPr/>
      </xdr:nvSpPr>
      <xdr:spPr>
        <a:xfrm>
          <a:off x="3352800" y="1743075"/>
          <a:ext cx="1114425" cy="752475"/>
        </a:xfrm>
        <a:prstGeom prst="diamond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200025</xdr:colOff>
      <xdr:row>9</xdr:row>
      <xdr:rowOff>223838</xdr:rowOff>
    </xdr:from>
    <xdr:to>
      <xdr:col>6</xdr:col>
      <xdr:colOff>9525</xdr:colOff>
      <xdr:row>9</xdr:row>
      <xdr:rowOff>228600</xdr:rowOff>
    </xdr:to>
    <xdr:cxnSp macro="">
      <xdr:nvCxnSpPr>
        <xdr:cNvPr id="4" name="Conector recto de flecha 3"/>
        <xdr:cNvCxnSpPr>
          <a:stCxn id="2" idx="3"/>
        </xdr:cNvCxnSpPr>
      </xdr:nvCxnSpPr>
      <xdr:spPr>
        <a:xfrm>
          <a:off x="4467225" y="2224088"/>
          <a:ext cx="1333500" cy="47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404813</xdr:colOff>
      <xdr:row>11</xdr:row>
      <xdr:rowOff>104775</xdr:rowOff>
    </xdr:from>
    <xdr:to>
      <xdr:col>3</xdr:col>
      <xdr:colOff>419100</xdr:colOff>
      <xdr:row>14</xdr:row>
      <xdr:rowOff>0</xdr:rowOff>
    </xdr:to>
    <xdr:cxnSp macro="">
      <xdr:nvCxnSpPr>
        <xdr:cNvPr id="7" name="Conector recto de flecha 6"/>
        <xdr:cNvCxnSpPr>
          <a:stCxn id="2" idx="2"/>
        </xdr:cNvCxnSpPr>
      </xdr:nvCxnSpPr>
      <xdr:spPr>
        <a:xfrm>
          <a:off x="3910013" y="2495550"/>
          <a:ext cx="14287" cy="476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404813</xdr:colOff>
      <xdr:row>5</xdr:row>
      <xdr:rowOff>190500</xdr:rowOff>
    </xdr:from>
    <xdr:to>
      <xdr:col>3</xdr:col>
      <xdr:colOff>409575</xdr:colOff>
      <xdr:row>7</xdr:row>
      <xdr:rowOff>142875</xdr:rowOff>
    </xdr:to>
    <xdr:cxnSp macro="">
      <xdr:nvCxnSpPr>
        <xdr:cNvPr id="18" name="Conector recto de flecha 17"/>
        <xdr:cNvCxnSpPr>
          <a:endCxn id="2" idx="0"/>
        </xdr:cNvCxnSpPr>
      </xdr:nvCxnSpPr>
      <xdr:spPr>
        <a:xfrm flipH="1">
          <a:off x="3910013" y="1314450"/>
          <a:ext cx="4762" cy="4286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</xdr:row>
      <xdr:rowOff>38100</xdr:rowOff>
    </xdr:from>
    <xdr:to>
      <xdr:col>2</xdr:col>
      <xdr:colOff>19050</xdr:colOff>
      <xdr:row>4</xdr:row>
      <xdr:rowOff>47625</xdr:rowOff>
    </xdr:to>
    <xdr:cxnSp macro="">
      <xdr:nvCxnSpPr>
        <xdr:cNvPr id="21" name="Conector recto de flecha 20"/>
        <xdr:cNvCxnSpPr/>
      </xdr:nvCxnSpPr>
      <xdr:spPr>
        <a:xfrm>
          <a:off x="1981200" y="819150"/>
          <a:ext cx="7810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385762</xdr:colOff>
      <xdr:row>4</xdr:row>
      <xdr:rowOff>333375</xdr:rowOff>
    </xdr:from>
    <xdr:to>
      <xdr:col>7</xdr:col>
      <xdr:colOff>390525</xdr:colOff>
      <xdr:row>9</xdr:row>
      <xdr:rowOff>0</xdr:rowOff>
    </xdr:to>
    <xdr:cxnSp macro="">
      <xdr:nvCxnSpPr>
        <xdr:cNvPr id="27" name="Conector recto de flecha 26"/>
        <xdr:cNvCxnSpPr/>
      </xdr:nvCxnSpPr>
      <xdr:spPr>
        <a:xfrm>
          <a:off x="6938962" y="1209675"/>
          <a:ext cx="4763" cy="790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261937</xdr:colOff>
      <xdr:row>5</xdr:row>
      <xdr:rowOff>107156</xdr:rowOff>
    </xdr:from>
    <xdr:to>
      <xdr:col>1</xdr:col>
      <xdr:colOff>583406</xdr:colOff>
      <xdr:row>5</xdr:row>
      <xdr:rowOff>452438</xdr:rowOff>
    </xdr:to>
    <xdr:sp macro="" textlink="">
      <xdr:nvSpPr>
        <xdr:cNvPr id="2" name="Conector 1"/>
        <xdr:cNvSpPr/>
      </xdr:nvSpPr>
      <xdr:spPr>
        <a:xfrm>
          <a:off x="1052512" y="1059656"/>
          <a:ext cx="321469" cy="345282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23813</xdr:colOff>
      <xdr:row>5</xdr:row>
      <xdr:rowOff>47625</xdr:rowOff>
    </xdr:from>
    <xdr:to>
      <xdr:col>2</xdr:col>
      <xdr:colOff>845345</xdr:colOff>
      <xdr:row>5</xdr:row>
      <xdr:rowOff>523874</xdr:rowOff>
    </xdr:to>
    <xdr:sp macro="" textlink="">
      <xdr:nvSpPr>
        <xdr:cNvPr id="3" name="Rectángulo redondeado 2"/>
        <xdr:cNvSpPr/>
      </xdr:nvSpPr>
      <xdr:spPr>
        <a:xfrm>
          <a:off x="1757363" y="1000125"/>
          <a:ext cx="821532" cy="47624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Ingresa</a:t>
          </a:r>
          <a:r>
            <a:rPr lang="en-US" sz="1000" baseline="0"/>
            <a:t> pag. Web</a:t>
          </a:r>
          <a:endParaRPr lang="en-US" sz="1000"/>
        </a:p>
        <a:p>
          <a:pPr algn="ctr"/>
          <a:endParaRPr lang="en-US" sz="1000"/>
        </a:p>
      </xdr:txBody>
    </xdr:sp>
    <xdr:clientData/>
  </xdr:twoCellAnchor>
  <xdr:twoCellAnchor>
    <xdr:from>
      <xdr:col>3</xdr:col>
      <xdr:colOff>450056</xdr:colOff>
      <xdr:row>5</xdr:row>
      <xdr:rowOff>45243</xdr:rowOff>
    </xdr:from>
    <xdr:to>
      <xdr:col>5</xdr:col>
      <xdr:colOff>309562</xdr:colOff>
      <xdr:row>5</xdr:row>
      <xdr:rowOff>521492</xdr:rowOff>
    </xdr:to>
    <xdr:sp macro="" textlink="">
      <xdr:nvSpPr>
        <xdr:cNvPr id="4" name="Rectángulo redondeado 3"/>
        <xdr:cNvSpPr/>
      </xdr:nvSpPr>
      <xdr:spPr>
        <a:xfrm>
          <a:off x="3050381" y="997743"/>
          <a:ext cx="1383506" cy="47624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Llena</a:t>
          </a:r>
          <a:r>
            <a:rPr lang="en-US" sz="1000" baseline="0"/>
            <a:t> formulario "Solicitud de Crédito"</a:t>
          </a:r>
          <a:endParaRPr lang="en-US" sz="1000"/>
        </a:p>
        <a:p>
          <a:pPr algn="ctr"/>
          <a:endParaRPr lang="en-US" sz="1000"/>
        </a:p>
      </xdr:txBody>
    </xdr:sp>
    <xdr:clientData/>
  </xdr:twoCellAnchor>
  <xdr:twoCellAnchor>
    <xdr:from>
      <xdr:col>6</xdr:col>
      <xdr:colOff>71437</xdr:colOff>
      <xdr:row>4</xdr:row>
      <xdr:rowOff>71436</xdr:rowOff>
    </xdr:from>
    <xdr:to>
      <xdr:col>7</xdr:col>
      <xdr:colOff>595312</xdr:colOff>
      <xdr:row>6</xdr:row>
      <xdr:rowOff>130968</xdr:rowOff>
    </xdr:to>
    <xdr:sp macro="" textlink="">
      <xdr:nvSpPr>
        <xdr:cNvPr id="5" name="Rombo 4"/>
        <xdr:cNvSpPr/>
      </xdr:nvSpPr>
      <xdr:spPr>
        <a:xfrm>
          <a:off x="4957762" y="833436"/>
          <a:ext cx="1285875" cy="792957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Llenado correcto?</a:t>
          </a:r>
        </a:p>
      </xdr:txBody>
    </xdr:sp>
    <xdr:clientData/>
  </xdr:twoCellAnchor>
  <xdr:twoCellAnchor>
    <xdr:from>
      <xdr:col>8</xdr:col>
      <xdr:colOff>166686</xdr:colOff>
      <xdr:row>5</xdr:row>
      <xdr:rowOff>35719</xdr:rowOff>
    </xdr:from>
    <xdr:to>
      <xdr:col>10</xdr:col>
      <xdr:colOff>309561</xdr:colOff>
      <xdr:row>6</xdr:row>
      <xdr:rowOff>-1</xdr:rowOff>
    </xdr:to>
    <xdr:sp macro="" textlink="">
      <xdr:nvSpPr>
        <xdr:cNvPr id="6" name="Rectángulo redondeado 5"/>
        <xdr:cNvSpPr/>
      </xdr:nvSpPr>
      <xdr:spPr>
        <a:xfrm>
          <a:off x="6577011" y="988219"/>
          <a:ext cx="1666875" cy="50720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Llena</a:t>
          </a:r>
          <a:r>
            <a:rPr lang="en-US" sz="1000" baseline="0"/>
            <a:t> formulario "Información del Negocio"</a:t>
          </a:r>
          <a:endParaRPr lang="en-US" sz="1000"/>
        </a:p>
        <a:p>
          <a:pPr algn="ctr"/>
          <a:endParaRPr lang="en-US" sz="1000"/>
        </a:p>
      </xdr:txBody>
    </xdr:sp>
    <xdr:clientData/>
  </xdr:twoCellAnchor>
  <xdr:twoCellAnchor>
    <xdr:from>
      <xdr:col>10</xdr:col>
      <xdr:colOff>723899</xdr:colOff>
      <xdr:row>4</xdr:row>
      <xdr:rowOff>92868</xdr:rowOff>
    </xdr:from>
    <xdr:to>
      <xdr:col>12</xdr:col>
      <xdr:colOff>485774</xdr:colOff>
      <xdr:row>6</xdr:row>
      <xdr:rowOff>152400</xdr:rowOff>
    </xdr:to>
    <xdr:sp macro="" textlink="">
      <xdr:nvSpPr>
        <xdr:cNvPr id="7" name="Rombo 6"/>
        <xdr:cNvSpPr/>
      </xdr:nvSpPr>
      <xdr:spPr>
        <a:xfrm>
          <a:off x="8658224" y="854868"/>
          <a:ext cx="1285875" cy="792957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Llenado correcto?</a:t>
          </a:r>
        </a:p>
      </xdr:txBody>
    </xdr:sp>
    <xdr:clientData/>
  </xdr:twoCellAnchor>
  <xdr:twoCellAnchor>
    <xdr:from>
      <xdr:col>13</xdr:col>
      <xdr:colOff>83344</xdr:colOff>
      <xdr:row>5</xdr:row>
      <xdr:rowOff>47624</xdr:rowOff>
    </xdr:from>
    <xdr:to>
      <xdr:col>15</xdr:col>
      <xdr:colOff>226219</xdr:colOff>
      <xdr:row>6</xdr:row>
      <xdr:rowOff>11904</xdr:rowOff>
    </xdr:to>
    <xdr:sp macro="" textlink="">
      <xdr:nvSpPr>
        <xdr:cNvPr id="8" name="Rectángulo redondeado 7"/>
        <xdr:cNvSpPr/>
      </xdr:nvSpPr>
      <xdr:spPr>
        <a:xfrm>
          <a:off x="10303669" y="1000124"/>
          <a:ext cx="1666875" cy="50720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Llena</a:t>
          </a:r>
          <a:r>
            <a:rPr lang="en-US" sz="1000" baseline="0"/>
            <a:t> formulario "Información Financiera"</a:t>
          </a:r>
          <a:endParaRPr lang="en-US" sz="1000"/>
        </a:p>
        <a:p>
          <a:pPr algn="ctr"/>
          <a:endParaRPr lang="en-US" sz="1000"/>
        </a:p>
      </xdr:txBody>
    </xdr:sp>
    <xdr:clientData/>
  </xdr:twoCellAnchor>
  <xdr:twoCellAnchor>
    <xdr:from>
      <xdr:col>15</xdr:col>
      <xdr:colOff>702469</xdr:colOff>
      <xdr:row>4</xdr:row>
      <xdr:rowOff>95251</xdr:rowOff>
    </xdr:from>
    <xdr:to>
      <xdr:col>17</xdr:col>
      <xdr:colOff>464344</xdr:colOff>
      <xdr:row>6</xdr:row>
      <xdr:rowOff>154783</xdr:rowOff>
    </xdr:to>
    <xdr:sp macro="" textlink="">
      <xdr:nvSpPr>
        <xdr:cNvPr id="9" name="Rombo 8"/>
        <xdr:cNvSpPr/>
      </xdr:nvSpPr>
      <xdr:spPr>
        <a:xfrm>
          <a:off x="12446794" y="857251"/>
          <a:ext cx="1285875" cy="792957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Llenado correcto?</a:t>
          </a:r>
        </a:p>
      </xdr:txBody>
    </xdr:sp>
    <xdr:clientData/>
  </xdr:twoCellAnchor>
  <xdr:twoCellAnchor>
    <xdr:from>
      <xdr:col>18</xdr:col>
      <xdr:colOff>250031</xdr:colOff>
      <xdr:row>5</xdr:row>
      <xdr:rowOff>47624</xdr:rowOff>
    </xdr:from>
    <xdr:to>
      <xdr:col>20</xdr:col>
      <xdr:colOff>392906</xdr:colOff>
      <xdr:row>6</xdr:row>
      <xdr:rowOff>11904</xdr:rowOff>
    </xdr:to>
    <xdr:sp macro="" textlink="">
      <xdr:nvSpPr>
        <xdr:cNvPr id="10" name="Rectángulo redondeado 9"/>
        <xdr:cNvSpPr/>
      </xdr:nvSpPr>
      <xdr:spPr>
        <a:xfrm>
          <a:off x="14280356" y="1000124"/>
          <a:ext cx="1666875" cy="50720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Indica  el monto del créito</a:t>
          </a:r>
          <a:r>
            <a:rPr lang="en-US" sz="1000" baseline="0"/>
            <a:t> a solicitar</a:t>
          </a:r>
          <a:endParaRPr lang="en-US" sz="1000"/>
        </a:p>
        <a:p>
          <a:pPr algn="ctr"/>
          <a:endParaRPr lang="en-US" sz="1000"/>
        </a:p>
      </xdr:txBody>
    </xdr:sp>
    <xdr:clientData/>
  </xdr:twoCellAnchor>
  <xdr:twoCellAnchor>
    <xdr:from>
      <xdr:col>1</xdr:col>
      <xdr:colOff>583406</xdr:colOff>
      <xdr:row>5</xdr:row>
      <xdr:rowOff>279797</xdr:rowOff>
    </xdr:from>
    <xdr:to>
      <xdr:col>2</xdr:col>
      <xdr:colOff>23813</xdr:colOff>
      <xdr:row>5</xdr:row>
      <xdr:rowOff>285750</xdr:rowOff>
    </xdr:to>
    <xdr:cxnSp macro="">
      <xdr:nvCxnSpPr>
        <xdr:cNvPr id="11" name="Conector recto de flecha 10"/>
        <xdr:cNvCxnSpPr>
          <a:stCxn id="2" idx="6"/>
          <a:endCxn id="3" idx="1"/>
        </xdr:cNvCxnSpPr>
      </xdr:nvCxnSpPr>
      <xdr:spPr>
        <a:xfrm>
          <a:off x="1373981" y="1232297"/>
          <a:ext cx="383382" cy="595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845345</xdr:colOff>
      <xdr:row>5</xdr:row>
      <xdr:rowOff>283368</xdr:rowOff>
    </xdr:from>
    <xdr:to>
      <xdr:col>3</xdr:col>
      <xdr:colOff>450056</xdr:colOff>
      <xdr:row>5</xdr:row>
      <xdr:rowOff>285750</xdr:rowOff>
    </xdr:to>
    <xdr:cxnSp macro="">
      <xdr:nvCxnSpPr>
        <xdr:cNvPr id="12" name="Conector recto de flecha 11"/>
        <xdr:cNvCxnSpPr>
          <a:stCxn id="3" idx="3"/>
          <a:endCxn id="4" idx="1"/>
        </xdr:cNvCxnSpPr>
      </xdr:nvCxnSpPr>
      <xdr:spPr>
        <a:xfrm flipV="1">
          <a:off x="2578895" y="1235868"/>
          <a:ext cx="471486" cy="23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309562</xdr:colOff>
      <xdr:row>5</xdr:row>
      <xdr:rowOff>279796</xdr:rowOff>
    </xdr:from>
    <xdr:to>
      <xdr:col>6</xdr:col>
      <xdr:colOff>71437</xdr:colOff>
      <xdr:row>5</xdr:row>
      <xdr:rowOff>283368</xdr:rowOff>
    </xdr:to>
    <xdr:cxnSp macro="">
      <xdr:nvCxnSpPr>
        <xdr:cNvPr id="13" name="Conector recto de flecha 12"/>
        <xdr:cNvCxnSpPr>
          <a:stCxn id="4" idx="3"/>
          <a:endCxn id="5" idx="1"/>
        </xdr:cNvCxnSpPr>
      </xdr:nvCxnSpPr>
      <xdr:spPr>
        <a:xfrm flipV="1">
          <a:off x="4433887" y="1232296"/>
          <a:ext cx="523875" cy="357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595312</xdr:colOff>
      <xdr:row>5</xdr:row>
      <xdr:rowOff>279796</xdr:rowOff>
    </xdr:from>
    <xdr:to>
      <xdr:col>8</xdr:col>
      <xdr:colOff>166686</xdr:colOff>
      <xdr:row>5</xdr:row>
      <xdr:rowOff>291703</xdr:rowOff>
    </xdr:to>
    <xdr:cxnSp macro="">
      <xdr:nvCxnSpPr>
        <xdr:cNvPr id="14" name="Conector recto de flecha 13"/>
        <xdr:cNvCxnSpPr>
          <a:stCxn id="5" idx="3"/>
          <a:endCxn id="6" idx="1"/>
        </xdr:cNvCxnSpPr>
      </xdr:nvCxnSpPr>
      <xdr:spPr>
        <a:xfrm>
          <a:off x="6243637" y="1232296"/>
          <a:ext cx="333374" cy="119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309561</xdr:colOff>
      <xdr:row>5</xdr:row>
      <xdr:rowOff>291703</xdr:rowOff>
    </xdr:from>
    <xdr:to>
      <xdr:col>10</xdr:col>
      <xdr:colOff>723899</xdr:colOff>
      <xdr:row>5</xdr:row>
      <xdr:rowOff>301228</xdr:rowOff>
    </xdr:to>
    <xdr:cxnSp macro="">
      <xdr:nvCxnSpPr>
        <xdr:cNvPr id="15" name="Conector recto de flecha 14"/>
        <xdr:cNvCxnSpPr>
          <a:stCxn id="6" idx="3"/>
          <a:endCxn id="7" idx="1"/>
        </xdr:cNvCxnSpPr>
      </xdr:nvCxnSpPr>
      <xdr:spPr>
        <a:xfrm>
          <a:off x="8243886" y="1244203"/>
          <a:ext cx="414338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485774</xdr:colOff>
      <xdr:row>5</xdr:row>
      <xdr:rowOff>301228</xdr:rowOff>
    </xdr:from>
    <xdr:to>
      <xdr:col>13</xdr:col>
      <xdr:colOff>83344</xdr:colOff>
      <xdr:row>5</xdr:row>
      <xdr:rowOff>303608</xdr:rowOff>
    </xdr:to>
    <xdr:cxnSp macro="">
      <xdr:nvCxnSpPr>
        <xdr:cNvPr id="16" name="Conector recto de flecha 15"/>
        <xdr:cNvCxnSpPr>
          <a:stCxn id="7" idx="3"/>
          <a:endCxn id="8" idx="1"/>
        </xdr:cNvCxnSpPr>
      </xdr:nvCxnSpPr>
      <xdr:spPr>
        <a:xfrm>
          <a:off x="9944099" y="1253728"/>
          <a:ext cx="359570" cy="23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5</xdr:row>
      <xdr:rowOff>303608</xdr:rowOff>
    </xdr:from>
    <xdr:to>
      <xdr:col>15</xdr:col>
      <xdr:colOff>702469</xdr:colOff>
      <xdr:row>5</xdr:row>
      <xdr:rowOff>303611</xdr:rowOff>
    </xdr:to>
    <xdr:cxnSp macro="">
      <xdr:nvCxnSpPr>
        <xdr:cNvPr id="17" name="Conector recto de flecha 16"/>
        <xdr:cNvCxnSpPr>
          <a:stCxn id="8" idx="3"/>
          <a:endCxn id="9" idx="1"/>
        </xdr:cNvCxnSpPr>
      </xdr:nvCxnSpPr>
      <xdr:spPr>
        <a:xfrm>
          <a:off x="11970544" y="1256108"/>
          <a:ext cx="476250" cy="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464344</xdr:colOff>
      <xdr:row>5</xdr:row>
      <xdr:rowOff>303608</xdr:rowOff>
    </xdr:from>
    <xdr:to>
      <xdr:col>18</xdr:col>
      <xdr:colOff>250031</xdr:colOff>
      <xdr:row>5</xdr:row>
      <xdr:rowOff>303611</xdr:rowOff>
    </xdr:to>
    <xdr:cxnSp macro="">
      <xdr:nvCxnSpPr>
        <xdr:cNvPr id="18" name="Conector recto de flecha 17"/>
        <xdr:cNvCxnSpPr>
          <a:stCxn id="9" idx="3"/>
          <a:endCxn id="10" idx="1"/>
        </xdr:cNvCxnSpPr>
      </xdr:nvCxnSpPr>
      <xdr:spPr>
        <a:xfrm flipV="1">
          <a:off x="13732669" y="1256108"/>
          <a:ext cx="547687" cy="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379809</xdr:colOff>
      <xdr:row>5</xdr:row>
      <xdr:rowOff>521492</xdr:rowOff>
    </xdr:from>
    <xdr:to>
      <xdr:col>6</xdr:col>
      <xdr:colOff>714375</xdr:colOff>
      <xdr:row>6</xdr:row>
      <xdr:rowOff>130968</xdr:rowOff>
    </xdr:to>
    <xdr:cxnSp macro="">
      <xdr:nvCxnSpPr>
        <xdr:cNvPr id="19" name="Conector angular 18"/>
        <xdr:cNvCxnSpPr>
          <a:stCxn id="5" idx="2"/>
          <a:endCxn id="4" idx="2"/>
        </xdr:cNvCxnSpPr>
      </xdr:nvCxnSpPr>
      <xdr:spPr>
        <a:xfrm rot="5400000" flipH="1">
          <a:off x="4595216" y="620910"/>
          <a:ext cx="152401" cy="1858566"/>
        </a:xfrm>
        <a:prstGeom prst="bentConnector3">
          <a:avLst>
            <a:gd name="adj1" fmla="val -14545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238124</xdr:colOff>
      <xdr:row>6</xdr:row>
      <xdr:rowOff>0</xdr:rowOff>
    </xdr:from>
    <xdr:to>
      <xdr:col>11</xdr:col>
      <xdr:colOff>604837</xdr:colOff>
      <xdr:row>6</xdr:row>
      <xdr:rowOff>152401</xdr:rowOff>
    </xdr:to>
    <xdr:cxnSp macro="">
      <xdr:nvCxnSpPr>
        <xdr:cNvPr id="20" name="Conector angular 19"/>
        <xdr:cNvCxnSpPr>
          <a:stCxn id="7" idx="2"/>
          <a:endCxn id="6" idx="2"/>
        </xdr:cNvCxnSpPr>
      </xdr:nvCxnSpPr>
      <xdr:spPr>
        <a:xfrm rot="5400000" flipH="1">
          <a:off x="8279605" y="626269"/>
          <a:ext cx="152401" cy="1890713"/>
        </a:xfrm>
        <a:prstGeom prst="bentConnector3">
          <a:avLst>
            <a:gd name="adj1" fmla="val -14999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154782</xdr:colOff>
      <xdr:row>6</xdr:row>
      <xdr:rowOff>11905</xdr:rowOff>
    </xdr:from>
    <xdr:to>
      <xdr:col>16</xdr:col>
      <xdr:colOff>583407</xdr:colOff>
      <xdr:row>6</xdr:row>
      <xdr:rowOff>154784</xdr:rowOff>
    </xdr:to>
    <xdr:cxnSp macro="">
      <xdr:nvCxnSpPr>
        <xdr:cNvPr id="21" name="Conector angular 20"/>
        <xdr:cNvCxnSpPr>
          <a:stCxn id="9" idx="2"/>
          <a:endCxn id="8" idx="2"/>
        </xdr:cNvCxnSpPr>
      </xdr:nvCxnSpPr>
      <xdr:spPr>
        <a:xfrm rot="5400000" flipH="1">
          <a:off x="12041980" y="602457"/>
          <a:ext cx="142879" cy="1952625"/>
        </a:xfrm>
        <a:prstGeom prst="bentConnector3">
          <a:avLst>
            <a:gd name="adj1" fmla="val -15999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452436</xdr:colOff>
      <xdr:row>6</xdr:row>
      <xdr:rowOff>95249</xdr:rowOff>
    </xdr:from>
    <xdr:to>
      <xdr:col>6</xdr:col>
      <xdr:colOff>95249</xdr:colOff>
      <xdr:row>6</xdr:row>
      <xdr:rowOff>321468</xdr:rowOff>
    </xdr:to>
    <xdr:sp macro="" textlink="">
      <xdr:nvSpPr>
        <xdr:cNvPr id="22" name="CuadroTexto 21"/>
        <xdr:cNvSpPr txBox="1"/>
      </xdr:nvSpPr>
      <xdr:spPr>
        <a:xfrm>
          <a:off x="4576761" y="1590674"/>
          <a:ext cx="404813" cy="2262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</a:t>
          </a:r>
        </a:p>
      </xdr:txBody>
    </xdr:sp>
    <xdr:clientData/>
  </xdr:twoCellAnchor>
  <xdr:twoCellAnchor>
    <xdr:from>
      <xdr:col>10</xdr:col>
      <xdr:colOff>226219</xdr:colOff>
      <xdr:row>6</xdr:row>
      <xdr:rowOff>142875</xdr:rowOff>
    </xdr:from>
    <xdr:to>
      <xdr:col>10</xdr:col>
      <xdr:colOff>631032</xdr:colOff>
      <xdr:row>6</xdr:row>
      <xdr:rowOff>369094</xdr:rowOff>
    </xdr:to>
    <xdr:sp macro="" textlink="">
      <xdr:nvSpPr>
        <xdr:cNvPr id="23" name="CuadroTexto 22"/>
        <xdr:cNvSpPr txBox="1"/>
      </xdr:nvSpPr>
      <xdr:spPr>
        <a:xfrm>
          <a:off x="8160544" y="1638300"/>
          <a:ext cx="404813" cy="2262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</a:t>
          </a:r>
        </a:p>
      </xdr:txBody>
    </xdr:sp>
    <xdr:clientData/>
  </xdr:twoCellAnchor>
  <xdr:twoCellAnchor>
    <xdr:from>
      <xdr:col>15</xdr:col>
      <xdr:colOff>261938</xdr:colOff>
      <xdr:row>6</xdr:row>
      <xdr:rowOff>107157</xdr:rowOff>
    </xdr:from>
    <xdr:to>
      <xdr:col>15</xdr:col>
      <xdr:colOff>666751</xdr:colOff>
      <xdr:row>6</xdr:row>
      <xdr:rowOff>333376</xdr:rowOff>
    </xdr:to>
    <xdr:sp macro="" textlink="">
      <xdr:nvSpPr>
        <xdr:cNvPr id="24" name="CuadroTexto 23"/>
        <xdr:cNvSpPr txBox="1"/>
      </xdr:nvSpPr>
      <xdr:spPr>
        <a:xfrm>
          <a:off x="12006263" y="1602582"/>
          <a:ext cx="404813" cy="2262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</a:t>
          </a:r>
        </a:p>
      </xdr:txBody>
    </xdr:sp>
    <xdr:clientData/>
  </xdr:twoCellAnchor>
  <xdr:twoCellAnchor>
    <xdr:from>
      <xdr:col>7</xdr:col>
      <xdr:colOff>523874</xdr:colOff>
      <xdr:row>4</xdr:row>
      <xdr:rowOff>130969</xdr:rowOff>
    </xdr:from>
    <xdr:to>
      <xdr:col>8</xdr:col>
      <xdr:colOff>166687</xdr:colOff>
      <xdr:row>5</xdr:row>
      <xdr:rowOff>166688</xdr:rowOff>
    </xdr:to>
    <xdr:sp macro="" textlink="">
      <xdr:nvSpPr>
        <xdr:cNvPr id="25" name="CuadroTexto 24"/>
        <xdr:cNvSpPr txBox="1"/>
      </xdr:nvSpPr>
      <xdr:spPr>
        <a:xfrm>
          <a:off x="6172199" y="892969"/>
          <a:ext cx="404813" cy="2262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</a:t>
          </a:r>
        </a:p>
      </xdr:txBody>
    </xdr:sp>
    <xdr:clientData/>
  </xdr:twoCellAnchor>
  <xdr:twoCellAnchor>
    <xdr:from>
      <xdr:col>12</xdr:col>
      <xdr:colOff>440531</xdr:colOff>
      <xdr:row>5</xdr:row>
      <xdr:rowOff>11906</xdr:rowOff>
    </xdr:from>
    <xdr:to>
      <xdr:col>13</xdr:col>
      <xdr:colOff>11906</xdr:colOff>
      <xdr:row>5</xdr:row>
      <xdr:rowOff>226219</xdr:rowOff>
    </xdr:to>
    <xdr:sp macro="" textlink="">
      <xdr:nvSpPr>
        <xdr:cNvPr id="26" name="CuadroTexto 25"/>
        <xdr:cNvSpPr txBox="1"/>
      </xdr:nvSpPr>
      <xdr:spPr>
        <a:xfrm>
          <a:off x="9898856" y="964406"/>
          <a:ext cx="333375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</a:t>
          </a:r>
        </a:p>
      </xdr:txBody>
    </xdr:sp>
    <xdr:clientData/>
  </xdr:twoCellAnchor>
  <xdr:twoCellAnchor>
    <xdr:from>
      <xdr:col>17</xdr:col>
      <xdr:colOff>500062</xdr:colOff>
      <xdr:row>4</xdr:row>
      <xdr:rowOff>178594</xdr:rowOff>
    </xdr:from>
    <xdr:to>
      <xdr:col>18</xdr:col>
      <xdr:colOff>95249</xdr:colOff>
      <xdr:row>5</xdr:row>
      <xdr:rowOff>238125</xdr:rowOff>
    </xdr:to>
    <xdr:sp macro="" textlink="">
      <xdr:nvSpPr>
        <xdr:cNvPr id="27" name="CuadroTexto 26"/>
        <xdr:cNvSpPr txBox="1"/>
      </xdr:nvSpPr>
      <xdr:spPr>
        <a:xfrm>
          <a:off x="13768387" y="940594"/>
          <a:ext cx="357187" cy="2500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</a:t>
          </a:r>
        </a:p>
      </xdr:txBody>
    </xdr:sp>
    <xdr:clientData/>
  </xdr:twoCellAnchor>
  <xdr:twoCellAnchor>
    <xdr:from>
      <xdr:col>1</xdr:col>
      <xdr:colOff>190500</xdr:colOff>
      <xdr:row>10</xdr:row>
      <xdr:rowOff>111125</xdr:rowOff>
    </xdr:from>
    <xdr:to>
      <xdr:col>3</xdr:col>
      <xdr:colOff>47625</xdr:colOff>
      <xdr:row>12</xdr:row>
      <xdr:rowOff>127000</xdr:rowOff>
    </xdr:to>
    <xdr:sp macro="" textlink="">
      <xdr:nvSpPr>
        <xdr:cNvPr id="28" name="Rectángulo redondeado 27"/>
        <xdr:cNvSpPr/>
      </xdr:nvSpPr>
      <xdr:spPr>
        <a:xfrm>
          <a:off x="1143000" y="3333750"/>
          <a:ext cx="1666875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Calcula</a:t>
          </a:r>
          <a:r>
            <a:rPr lang="en-US" sz="1000" baseline="0"/>
            <a:t> Scoring de Otorgamiento</a:t>
          </a:r>
          <a:endParaRPr lang="en-US" sz="1000"/>
        </a:p>
        <a:p>
          <a:pPr algn="ctr"/>
          <a:endParaRPr lang="en-US" sz="1000"/>
        </a:p>
      </xdr:txBody>
    </xdr:sp>
    <xdr:clientData/>
  </xdr:twoCellAnchor>
  <xdr:twoCellAnchor>
    <xdr:from>
      <xdr:col>2</xdr:col>
      <xdr:colOff>87313</xdr:colOff>
      <xdr:row>6</xdr:row>
      <xdr:rowOff>11905</xdr:rowOff>
    </xdr:from>
    <xdr:to>
      <xdr:col>19</xdr:col>
      <xdr:colOff>321469</xdr:colOff>
      <xdr:row>10</xdr:row>
      <xdr:rowOff>111126</xdr:rowOff>
    </xdr:to>
    <xdr:cxnSp macro="">
      <xdr:nvCxnSpPr>
        <xdr:cNvPr id="30" name="Conector angular 29"/>
        <xdr:cNvCxnSpPr>
          <a:stCxn id="10" idx="2"/>
          <a:endCxn id="28" idx="0"/>
        </xdr:cNvCxnSpPr>
      </xdr:nvCxnSpPr>
      <xdr:spPr>
        <a:xfrm rot="5400000">
          <a:off x="7806531" y="-4135438"/>
          <a:ext cx="1639096" cy="1329928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587375</xdr:colOff>
      <xdr:row>9</xdr:row>
      <xdr:rowOff>254000</xdr:rowOff>
    </xdr:from>
    <xdr:to>
      <xdr:col>5</xdr:col>
      <xdr:colOff>523875</xdr:colOff>
      <xdr:row>13</xdr:row>
      <xdr:rowOff>174625</xdr:rowOff>
    </xdr:to>
    <xdr:sp macro="" textlink="">
      <xdr:nvSpPr>
        <xdr:cNvPr id="35" name="Rombo 34"/>
        <xdr:cNvSpPr/>
      </xdr:nvSpPr>
      <xdr:spPr>
        <a:xfrm>
          <a:off x="3349625" y="3095625"/>
          <a:ext cx="1460500" cy="952500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/>
            <a:t>Cliente Aprobado?</a:t>
          </a:r>
        </a:p>
      </xdr:txBody>
    </xdr:sp>
    <xdr:clientData/>
  </xdr:twoCellAnchor>
  <xdr:twoCellAnchor>
    <xdr:from>
      <xdr:col>3</xdr:col>
      <xdr:colOff>47625</xdr:colOff>
      <xdr:row>11</xdr:row>
      <xdr:rowOff>158750</xdr:rowOff>
    </xdr:from>
    <xdr:to>
      <xdr:col>3</xdr:col>
      <xdr:colOff>587375</xdr:colOff>
      <xdr:row>11</xdr:row>
      <xdr:rowOff>158750</xdr:rowOff>
    </xdr:to>
    <xdr:cxnSp macro="">
      <xdr:nvCxnSpPr>
        <xdr:cNvPr id="36" name="Conector recto de flecha 35"/>
        <xdr:cNvCxnSpPr>
          <a:stCxn id="28" idx="3"/>
          <a:endCxn id="35" idx="1"/>
        </xdr:cNvCxnSpPr>
      </xdr:nvCxnSpPr>
      <xdr:spPr>
        <a:xfrm>
          <a:off x="2809875" y="3571875"/>
          <a:ext cx="5397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365125</xdr:colOff>
      <xdr:row>10</xdr:row>
      <xdr:rowOff>127000</xdr:rowOff>
    </xdr:from>
    <xdr:to>
      <xdr:col>8</xdr:col>
      <xdr:colOff>508000</xdr:colOff>
      <xdr:row>12</xdr:row>
      <xdr:rowOff>111125</xdr:rowOff>
    </xdr:to>
    <xdr:sp macro="" textlink="">
      <xdr:nvSpPr>
        <xdr:cNvPr id="41" name="Rectángulo redondeado 40"/>
        <xdr:cNvSpPr/>
      </xdr:nvSpPr>
      <xdr:spPr>
        <a:xfrm>
          <a:off x="5413375" y="3349625"/>
          <a:ext cx="1666875" cy="4445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Anexar</a:t>
          </a:r>
          <a:r>
            <a:rPr lang="en-US" sz="1000" baseline="0"/>
            <a:t> documentos</a:t>
          </a:r>
          <a:endParaRPr lang="en-US" sz="1000"/>
        </a:p>
        <a:p>
          <a:pPr algn="ctr"/>
          <a:endParaRPr lang="en-US" sz="1000"/>
        </a:p>
      </xdr:txBody>
    </xdr:sp>
    <xdr:clientData/>
  </xdr:twoCellAnchor>
  <xdr:twoCellAnchor>
    <xdr:from>
      <xdr:col>5</xdr:col>
      <xdr:colOff>523875</xdr:colOff>
      <xdr:row>11</xdr:row>
      <xdr:rowOff>158750</xdr:rowOff>
    </xdr:from>
    <xdr:to>
      <xdr:col>6</xdr:col>
      <xdr:colOff>365125</xdr:colOff>
      <xdr:row>11</xdr:row>
      <xdr:rowOff>158750</xdr:rowOff>
    </xdr:to>
    <xdr:cxnSp macro="">
      <xdr:nvCxnSpPr>
        <xdr:cNvPr id="42" name="Conector recto de flecha 41"/>
        <xdr:cNvCxnSpPr>
          <a:stCxn id="35" idx="3"/>
          <a:endCxn id="41" idx="1"/>
        </xdr:cNvCxnSpPr>
      </xdr:nvCxnSpPr>
      <xdr:spPr>
        <a:xfrm>
          <a:off x="4810125" y="3571875"/>
          <a:ext cx="6032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635000</xdr:colOff>
      <xdr:row>9</xdr:row>
      <xdr:rowOff>365125</xdr:rowOff>
    </xdr:from>
    <xdr:to>
      <xdr:col>6</xdr:col>
      <xdr:colOff>206375</xdr:colOff>
      <xdr:row>11</xdr:row>
      <xdr:rowOff>7938</xdr:rowOff>
    </xdr:to>
    <xdr:sp macro="" textlink="">
      <xdr:nvSpPr>
        <xdr:cNvPr id="45" name="CuadroTexto 44"/>
        <xdr:cNvSpPr txBox="1"/>
      </xdr:nvSpPr>
      <xdr:spPr>
        <a:xfrm>
          <a:off x="4921250" y="3206750"/>
          <a:ext cx="333375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</a:t>
          </a:r>
        </a:p>
      </xdr:txBody>
    </xdr:sp>
    <xdr:clientData/>
  </xdr:twoCellAnchor>
  <xdr:twoCellAnchor>
    <xdr:from>
      <xdr:col>3</xdr:col>
      <xdr:colOff>492125</xdr:colOff>
      <xdr:row>16</xdr:row>
      <xdr:rowOff>79375</xdr:rowOff>
    </xdr:from>
    <xdr:to>
      <xdr:col>5</xdr:col>
      <xdr:colOff>635000</xdr:colOff>
      <xdr:row>19</xdr:row>
      <xdr:rowOff>11905</xdr:rowOff>
    </xdr:to>
    <xdr:sp macro="" textlink="">
      <xdr:nvSpPr>
        <xdr:cNvPr id="46" name="Rectángulo redondeado 45"/>
        <xdr:cNvSpPr/>
      </xdr:nvSpPr>
      <xdr:spPr>
        <a:xfrm>
          <a:off x="3254375" y="4524375"/>
          <a:ext cx="1666875" cy="50403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Revisar Motivo</a:t>
          </a:r>
          <a:r>
            <a:rPr lang="en-US" sz="1000" baseline="0"/>
            <a:t> de rechazo</a:t>
          </a:r>
          <a:endParaRPr lang="en-US" sz="1000"/>
        </a:p>
      </xdr:txBody>
    </xdr:sp>
    <xdr:clientData/>
  </xdr:twoCellAnchor>
  <xdr:twoCellAnchor>
    <xdr:from>
      <xdr:col>4</xdr:col>
      <xdr:colOff>555625</xdr:colOff>
      <xdr:row>13</xdr:row>
      <xdr:rowOff>174625</xdr:rowOff>
    </xdr:from>
    <xdr:to>
      <xdr:col>4</xdr:col>
      <xdr:colOff>563563</xdr:colOff>
      <xdr:row>16</xdr:row>
      <xdr:rowOff>79375</xdr:rowOff>
    </xdr:to>
    <xdr:cxnSp macro="">
      <xdr:nvCxnSpPr>
        <xdr:cNvPr id="47" name="Conector recto de flecha 46"/>
        <xdr:cNvCxnSpPr>
          <a:stCxn id="35" idx="2"/>
          <a:endCxn id="46" idx="0"/>
        </xdr:cNvCxnSpPr>
      </xdr:nvCxnSpPr>
      <xdr:spPr>
        <a:xfrm>
          <a:off x="4079875" y="4048125"/>
          <a:ext cx="7938" cy="476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15875</xdr:colOff>
      <xdr:row>14</xdr:row>
      <xdr:rowOff>31750</xdr:rowOff>
    </xdr:from>
    <xdr:to>
      <xdr:col>4</xdr:col>
      <xdr:colOff>460374</xdr:colOff>
      <xdr:row>15</xdr:row>
      <xdr:rowOff>127000</xdr:rowOff>
    </xdr:to>
    <xdr:sp macro="" textlink="">
      <xdr:nvSpPr>
        <xdr:cNvPr id="50" name="CuadroTexto 49"/>
        <xdr:cNvSpPr txBox="1"/>
      </xdr:nvSpPr>
      <xdr:spPr>
        <a:xfrm>
          <a:off x="3540125" y="4095750"/>
          <a:ext cx="444499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</a:t>
          </a:r>
        </a:p>
      </xdr:txBody>
    </xdr:sp>
    <xdr:clientData/>
  </xdr:twoCellAnchor>
  <xdr:twoCellAnchor>
    <xdr:from>
      <xdr:col>3</xdr:col>
      <xdr:colOff>492125</xdr:colOff>
      <xdr:row>5</xdr:row>
      <xdr:rowOff>521492</xdr:rowOff>
    </xdr:from>
    <xdr:to>
      <xdr:col>4</xdr:col>
      <xdr:colOff>379809</xdr:colOff>
      <xdr:row>17</xdr:row>
      <xdr:rowOff>140890</xdr:rowOff>
    </xdr:to>
    <xdr:cxnSp macro="">
      <xdr:nvCxnSpPr>
        <xdr:cNvPr id="52" name="Conector angular 51"/>
        <xdr:cNvCxnSpPr>
          <a:stCxn id="46" idx="1"/>
          <a:endCxn id="4" idx="2"/>
        </xdr:cNvCxnSpPr>
      </xdr:nvCxnSpPr>
      <xdr:spPr>
        <a:xfrm rot="10800000" flipH="1">
          <a:off x="3254375" y="1664492"/>
          <a:ext cx="649684" cy="3111898"/>
        </a:xfrm>
        <a:prstGeom prst="bentConnector4">
          <a:avLst>
            <a:gd name="adj1" fmla="val -35186"/>
            <a:gd name="adj2" fmla="val 54049"/>
          </a:avLst>
        </a:prstGeom>
        <a:ln w="9525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367393</xdr:colOff>
      <xdr:row>5</xdr:row>
      <xdr:rowOff>421821</xdr:rowOff>
    </xdr:from>
    <xdr:to>
      <xdr:col>4</xdr:col>
      <xdr:colOff>32798</xdr:colOff>
      <xdr:row>6</xdr:row>
      <xdr:rowOff>217714</xdr:rowOff>
    </xdr:to>
    <xdr:pic>
      <xdr:nvPicPr>
        <xdr:cNvPr id="53" name="Imagen 52" descr="Ilustración de Conjunto De Iconos De Educación Vector Fillio Black Icon Series y más Vectores Libres de Derechos de Ícono - iStock - Google Chrome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928" t="38556" r="65822" b="53682"/>
        <a:stretch/>
      </xdr:blipFill>
      <xdr:spPr>
        <a:xfrm>
          <a:off x="3129643" y="1564821"/>
          <a:ext cx="427405" cy="340179"/>
        </a:xfrm>
        <a:prstGeom prst="rect">
          <a:avLst/>
        </a:prstGeom>
      </xdr:spPr>
    </xdr:pic>
    <xdr:clientData/>
  </xdr:twoCellAnchor>
  <xdr:twoCellAnchor editAs="oneCell">
    <xdr:from>
      <xdr:col>7</xdr:col>
      <xdr:colOff>751114</xdr:colOff>
      <xdr:row>5</xdr:row>
      <xdr:rowOff>451756</xdr:rowOff>
    </xdr:from>
    <xdr:to>
      <xdr:col>8</xdr:col>
      <xdr:colOff>416519</xdr:colOff>
      <xdr:row>6</xdr:row>
      <xdr:rowOff>247649</xdr:rowOff>
    </xdr:to>
    <xdr:pic>
      <xdr:nvPicPr>
        <xdr:cNvPr id="54" name="Imagen 53" descr="Ilustración de Conjunto De Iconos De Educación Vector Fillio Black Icon Series y más Vectores Libres de Derechos de Ícono - iStock - Google Chrome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928" t="38556" r="65822" b="53682"/>
        <a:stretch/>
      </xdr:blipFill>
      <xdr:spPr>
        <a:xfrm>
          <a:off x="6561364" y="1594756"/>
          <a:ext cx="427405" cy="340179"/>
        </a:xfrm>
        <a:prstGeom prst="rect">
          <a:avLst/>
        </a:prstGeom>
      </xdr:spPr>
    </xdr:pic>
    <xdr:clientData/>
  </xdr:twoCellAnchor>
  <xdr:twoCellAnchor editAs="oneCell">
    <xdr:from>
      <xdr:col>12</xdr:col>
      <xdr:colOff>658585</xdr:colOff>
      <xdr:row>5</xdr:row>
      <xdr:rowOff>536120</xdr:rowOff>
    </xdr:from>
    <xdr:to>
      <xdr:col>13</xdr:col>
      <xdr:colOff>323990</xdr:colOff>
      <xdr:row>6</xdr:row>
      <xdr:rowOff>332013</xdr:rowOff>
    </xdr:to>
    <xdr:pic>
      <xdr:nvPicPr>
        <xdr:cNvPr id="55" name="Imagen 54" descr="Ilustración de Conjunto De Iconos De Educación Vector Fillio Black Icon Series y más Vectores Libres de Derechos de Ícono - iStock - Google Chrome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928" t="38556" r="65822" b="53682"/>
        <a:stretch/>
      </xdr:blipFill>
      <xdr:spPr>
        <a:xfrm>
          <a:off x="10278835" y="1679120"/>
          <a:ext cx="427405" cy="340179"/>
        </a:xfrm>
        <a:prstGeom prst="rect">
          <a:avLst/>
        </a:prstGeom>
      </xdr:spPr>
    </xdr:pic>
    <xdr:clientData/>
  </xdr:twoCellAnchor>
  <xdr:twoCellAnchor editAs="oneCell">
    <xdr:from>
      <xdr:col>18</xdr:col>
      <xdr:colOff>54429</xdr:colOff>
      <xdr:row>5</xdr:row>
      <xdr:rowOff>476250</xdr:rowOff>
    </xdr:from>
    <xdr:to>
      <xdr:col>18</xdr:col>
      <xdr:colOff>481834</xdr:colOff>
      <xdr:row>6</xdr:row>
      <xdr:rowOff>272143</xdr:rowOff>
    </xdr:to>
    <xdr:pic>
      <xdr:nvPicPr>
        <xdr:cNvPr id="56" name="Imagen 55" descr="Ilustración de Conjunto De Iconos De Educación Vector Fillio Black Icon Series y más Vectores Libres de Derechos de Ícono - iStock - Google Chrome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928" t="38556" r="65822" b="53682"/>
        <a:stretch/>
      </xdr:blipFill>
      <xdr:spPr>
        <a:xfrm>
          <a:off x="14246679" y="1619250"/>
          <a:ext cx="427405" cy="340179"/>
        </a:xfrm>
        <a:prstGeom prst="rect">
          <a:avLst/>
        </a:prstGeom>
      </xdr:spPr>
    </xdr:pic>
    <xdr:clientData/>
  </xdr:twoCellAnchor>
  <xdr:twoCellAnchor editAs="oneCell">
    <xdr:from>
      <xdr:col>1</xdr:col>
      <xdr:colOff>244929</xdr:colOff>
      <xdr:row>11</xdr:row>
      <xdr:rowOff>244930</xdr:rowOff>
    </xdr:from>
    <xdr:to>
      <xdr:col>1</xdr:col>
      <xdr:colOff>542342</xdr:colOff>
      <xdr:row>13</xdr:row>
      <xdr:rowOff>149679</xdr:rowOff>
    </xdr:to>
    <xdr:pic>
      <xdr:nvPicPr>
        <xdr:cNvPr id="57" name="Imagen 56" descr="Ilustración de Conjunto De Iconos De Educación Vector Fillio Black Icon Series y más Vectores Libres de Derechos de Ícono - iStock - Google Chrome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4" t="78957" r="44822" b="12684"/>
        <a:stretch/>
      </xdr:blipFill>
      <xdr:spPr>
        <a:xfrm>
          <a:off x="1197429" y="3660323"/>
          <a:ext cx="297413" cy="367392"/>
        </a:xfrm>
        <a:prstGeom prst="rect">
          <a:avLst/>
        </a:prstGeom>
      </xdr:spPr>
    </xdr:pic>
    <xdr:clientData/>
  </xdr:twoCellAnchor>
  <xdr:twoCellAnchor editAs="oneCell">
    <xdr:from>
      <xdr:col>5</xdr:col>
      <xdr:colOff>244930</xdr:colOff>
      <xdr:row>4</xdr:row>
      <xdr:rowOff>0</xdr:rowOff>
    </xdr:from>
    <xdr:to>
      <xdr:col>5</xdr:col>
      <xdr:colOff>557894</xdr:colOff>
      <xdr:row>5</xdr:row>
      <xdr:rowOff>165931</xdr:rowOff>
    </xdr:to>
    <xdr:pic>
      <xdr:nvPicPr>
        <xdr:cNvPr id="58" name="Imagen 57" descr="Ilustración de Conjunto De Iconos De Educación Vector Fillio Black Icon Series y más Vectores Libres de Derechos de Ícono - iStock - Google Chrome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0" t="24426" r="81143" b="67414"/>
        <a:stretch/>
      </xdr:blipFill>
      <xdr:spPr>
        <a:xfrm>
          <a:off x="4531180" y="952500"/>
          <a:ext cx="312964" cy="356431"/>
        </a:xfrm>
        <a:prstGeom prst="rect">
          <a:avLst/>
        </a:prstGeom>
      </xdr:spPr>
    </xdr:pic>
    <xdr:clientData/>
  </xdr:twoCellAnchor>
  <xdr:twoCellAnchor editAs="oneCell">
    <xdr:from>
      <xdr:col>10</xdr:col>
      <xdr:colOff>84366</xdr:colOff>
      <xdr:row>4</xdr:row>
      <xdr:rowOff>43543</xdr:rowOff>
    </xdr:from>
    <xdr:to>
      <xdr:col>10</xdr:col>
      <xdr:colOff>397330</xdr:colOff>
      <xdr:row>5</xdr:row>
      <xdr:rowOff>209474</xdr:rowOff>
    </xdr:to>
    <xdr:pic>
      <xdr:nvPicPr>
        <xdr:cNvPr id="59" name="Imagen 58" descr="Ilustración de Conjunto De Iconos De Educación Vector Fillio Black Icon Series y más Vectores Libres de Derechos de Ícono - iStock - Google Chrome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0" t="24426" r="81143" b="67414"/>
        <a:stretch/>
      </xdr:blipFill>
      <xdr:spPr>
        <a:xfrm>
          <a:off x="8180616" y="996043"/>
          <a:ext cx="312964" cy="356431"/>
        </a:xfrm>
        <a:prstGeom prst="rect">
          <a:avLst/>
        </a:prstGeom>
      </xdr:spPr>
    </xdr:pic>
    <xdr:clientData/>
  </xdr:twoCellAnchor>
  <xdr:twoCellAnchor editAs="oneCell">
    <xdr:from>
      <xdr:col>14</xdr:col>
      <xdr:colOff>740230</xdr:colOff>
      <xdr:row>3</xdr:row>
      <xdr:rowOff>182336</xdr:rowOff>
    </xdr:from>
    <xdr:to>
      <xdr:col>15</xdr:col>
      <xdr:colOff>291194</xdr:colOff>
      <xdr:row>5</xdr:row>
      <xdr:rowOff>157767</xdr:rowOff>
    </xdr:to>
    <xdr:pic>
      <xdr:nvPicPr>
        <xdr:cNvPr id="60" name="Imagen 59" descr="Ilustración de Conjunto De Iconos De Educación Vector Fillio Black Icon Series y más Vectores Libres de Derechos de Ícono - iStock - Google Chrome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0" t="24426" r="81143" b="67414"/>
        <a:stretch/>
      </xdr:blipFill>
      <xdr:spPr>
        <a:xfrm>
          <a:off x="11884480" y="944336"/>
          <a:ext cx="312964" cy="356431"/>
        </a:xfrm>
        <a:prstGeom prst="rect">
          <a:avLst/>
        </a:prstGeom>
      </xdr:spPr>
    </xdr:pic>
    <xdr:clientData/>
  </xdr:twoCellAnchor>
  <xdr:twoCellAnchor editAs="oneCell">
    <xdr:from>
      <xdr:col>2</xdr:col>
      <xdr:colOff>707572</xdr:colOff>
      <xdr:row>9</xdr:row>
      <xdr:rowOff>231321</xdr:rowOff>
    </xdr:from>
    <xdr:to>
      <xdr:col>3</xdr:col>
      <xdr:colOff>149679</xdr:colOff>
      <xdr:row>11</xdr:row>
      <xdr:rowOff>16252</xdr:rowOff>
    </xdr:to>
    <xdr:pic>
      <xdr:nvPicPr>
        <xdr:cNvPr id="61" name="Imagen 60" descr="Ilustración de Conjunto De Iconos De Educación Vector Fillio Black Icon Series y más Vectores Libres de Derechos de Ícono - iStock - Google Chrome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0" t="24426" r="81143" b="67414"/>
        <a:stretch/>
      </xdr:blipFill>
      <xdr:spPr>
        <a:xfrm>
          <a:off x="2598965" y="3075214"/>
          <a:ext cx="312964" cy="3564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283825</xdr:colOff>
      <xdr:row>18</xdr:row>
      <xdr:rowOff>92147</xdr:rowOff>
    </xdr:from>
    <xdr:to>
      <xdr:col>4</xdr:col>
      <xdr:colOff>533857</xdr:colOff>
      <xdr:row>32</xdr:row>
      <xdr:rowOff>159688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529167</xdr:colOff>
      <xdr:row>24</xdr:row>
      <xdr:rowOff>10584</xdr:rowOff>
    </xdr:from>
    <xdr:to>
      <xdr:col>1</xdr:col>
      <xdr:colOff>1037167</xdr:colOff>
      <xdr:row>26</xdr:row>
      <xdr:rowOff>1</xdr:rowOff>
    </xdr:to>
    <xdr:sp macro="" textlink="">
      <xdr:nvSpPr>
        <xdr:cNvPr id="3" name="CuadroTexto 2"/>
        <xdr:cNvSpPr txBox="1"/>
      </xdr:nvSpPr>
      <xdr:spPr>
        <a:xfrm>
          <a:off x="1291167" y="4889501"/>
          <a:ext cx="508000" cy="370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r>
            <a:rPr lang="en-US" sz="1800" b="1" cap="none" spc="0">
              <a:ln/>
              <a:solidFill>
                <a:sysClr val="windowText" lastClr="000000"/>
              </a:solidFill>
              <a:effectLst/>
            </a:rPr>
            <a:t>0%</a:t>
          </a:r>
        </a:p>
      </xdr:txBody>
    </xdr:sp>
    <xdr:clientData/>
  </xdr:twoCellAnchor>
  <xdr:twoCellAnchor>
    <xdr:from>
      <xdr:col>1</xdr:col>
      <xdr:colOff>825500</xdr:colOff>
      <xdr:row>19</xdr:row>
      <xdr:rowOff>74083</xdr:rowOff>
    </xdr:from>
    <xdr:to>
      <xdr:col>1</xdr:col>
      <xdr:colOff>1481667</xdr:colOff>
      <xdr:row>21</xdr:row>
      <xdr:rowOff>63500</xdr:rowOff>
    </xdr:to>
    <xdr:sp macro="" textlink="">
      <xdr:nvSpPr>
        <xdr:cNvPr id="5" name="CuadroTexto 4"/>
        <xdr:cNvSpPr txBox="1"/>
      </xdr:nvSpPr>
      <xdr:spPr>
        <a:xfrm>
          <a:off x="1587500" y="4000500"/>
          <a:ext cx="656167" cy="370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r>
            <a:rPr lang="en-US" sz="1800" b="1" cap="none" spc="0">
              <a:ln/>
              <a:solidFill>
                <a:sysClr val="windowText" lastClr="000000"/>
              </a:solidFill>
              <a:effectLst/>
            </a:rPr>
            <a:t>25%</a:t>
          </a:r>
        </a:p>
      </xdr:txBody>
    </xdr:sp>
    <xdr:clientData/>
  </xdr:twoCellAnchor>
  <xdr:twoCellAnchor>
    <xdr:from>
      <xdr:col>1</xdr:col>
      <xdr:colOff>2057400</xdr:colOff>
      <xdr:row>16</xdr:row>
      <xdr:rowOff>162983</xdr:rowOff>
    </xdr:from>
    <xdr:to>
      <xdr:col>2</xdr:col>
      <xdr:colOff>575734</xdr:colOff>
      <xdr:row>18</xdr:row>
      <xdr:rowOff>152400</xdr:rowOff>
    </xdr:to>
    <xdr:sp macro="" textlink="">
      <xdr:nvSpPr>
        <xdr:cNvPr id="6" name="CuadroTexto 5"/>
        <xdr:cNvSpPr txBox="1"/>
      </xdr:nvSpPr>
      <xdr:spPr>
        <a:xfrm>
          <a:off x="2819400" y="3517900"/>
          <a:ext cx="656167" cy="370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r>
            <a:rPr lang="en-US" sz="1800" b="1" cap="none" spc="0">
              <a:ln/>
              <a:solidFill>
                <a:sysClr val="windowText" lastClr="000000"/>
              </a:solidFill>
              <a:effectLst/>
            </a:rPr>
            <a:t>50%</a:t>
          </a:r>
        </a:p>
      </xdr:txBody>
    </xdr:sp>
    <xdr:clientData/>
  </xdr:twoCellAnchor>
  <xdr:twoCellAnchor>
    <xdr:from>
      <xdr:col>3</xdr:col>
      <xdr:colOff>84667</xdr:colOff>
      <xdr:row>18</xdr:row>
      <xdr:rowOff>179917</xdr:rowOff>
    </xdr:from>
    <xdr:to>
      <xdr:col>3</xdr:col>
      <xdr:colOff>740834</xdr:colOff>
      <xdr:row>20</xdr:row>
      <xdr:rowOff>169334</xdr:rowOff>
    </xdr:to>
    <xdr:sp macro="" textlink="">
      <xdr:nvSpPr>
        <xdr:cNvPr id="7" name="CuadroTexto 6"/>
        <xdr:cNvSpPr txBox="1"/>
      </xdr:nvSpPr>
      <xdr:spPr>
        <a:xfrm>
          <a:off x="3968750" y="3915834"/>
          <a:ext cx="656167" cy="370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r>
            <a:rPr lang="en-US" sz="1800" b="1" cap="none" spc="0">
              <a:ln/>
              <a:solidFill>
                <a:sysClr val="windowText" lastClr="000000"/>
              </a:solidFill>
              <a:effectLst/>
            </a:rPr>
            <a:t>75%</a:t>
          </a:r>
        </a:p>
      </xdr:txBody>
    </xdr:sp>
    <xdr:clientData/>
  </xdr:twoCellAnchor>
  <xdr:twoCellAnchor>
    <xdr:from>
      <xdr:col>3</xdr:col>
      <xdr:colOff>560918</xdr:colOff>
      <xdr:row>24</xdr:row>
      <xdr:rowOff>42333</xdr:rowOff>
    </xdr:from>
    <xdr:to>
      <xdr:col>4</xdr:col>
      <xdr:colOff>518583</xdr:colOff>
      <xdr:row>26</xdr:row>
      <xdr:rowOff>31750</xdr:rowOff>
    </xdr:to>
    <xdr:sp macro="" textlink="">
      <xdr:nvSpPr>
        <xdr:cNvPr id="8" name="CuadroTexto 7"/>
        <xdr:cNvSpPr txBox="1"/>
      </xdr:nvSpPr>
      <xdr:spPr>
        <a:xfrm>
          <a:off x="4445001" y="4921250"/>
          <a:ext cx="825499" cy="370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r>
            <a:rPr lang="en-US" sz="1800" b="1" cap="none" spc="0">
              <a:ln/>
              <a:solidFill>
                <a:sysClr val="windowText" lastClr="000000"/>
              </a:solidFill>
              <a:effectLst/>
            </a:rPr>
            <a:t>100%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RDIDA%20ESPERADA%20LINEA%20A%2045%20DIAS%20NUEV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ción "/>
      <sheetName val="Parámetros del Modelo "/>
      <sheetName val="BDD"/>
      <sheetName val="PD x Días Mora"/>
      <sheetName val="Resumen - Analisis"/>
    </sheetNames>
    <sheetDataSet>
      <sheetData sheetId="0"/>
      <sheetData sheetId="1"/>
      <sheetData sheetId="2"/>
      <sheetData sheetId="3">
        <row r="4">
          <cell r="A4">
            <v>0</v>
          </cell>
          <cell r="B4">
            <v>5</v>
          </cell>
          <cell r="C4" t="str">
            <v>0-5</v>
          </cell>
          <cell r="D4">
            <v>0.02</v>
          </cell>
        </row>
        <row r="5">
          <cell r="A5">
            <v>6</v>
          </cell>
          <cell r="B5">
            <v>10</v>
          </cell>
          <cell r="C5" t="str">
            <v>6-10</v>
          </cell>
          <cell r="D5">
            <v>0.03</v>
          </cell>
        </row>
        <row r="6">
          <cell r="A6">
            <v>11</v>
          </cell>
          <cell r="B6">
            <v>15</v>
          </cell>
          <cell r="C6" t="str">
            <v>11-15</v>
          </cell>
          <cell r="D6">
            <v>0.05</v>
          </cell>
        </row>
        <row r="7">
          <cell r="A7">
            <v>16</v>
          </cell>
          <cell r="B7">
            <v>20</v>
          </cell>
          <cell r="C7" t="str">
            <v>16-20</v>
          </cell>
          <cell r="D7">
            <v>7.0000000000000007E-2</v>
          </cell>
        </row>
        <row r="8">
          <cell r="A8">
            <v>21</v>
          </cell>
          <cell r="B8">
            <v>30</v>
          </cell>
          <cell r="C8" t="str">
            <v>21-30</v>
          </cell>
          <cell r="D8">
            <v>0.1</v>
          </cell>
        </row>
        <row r="9">
          <cell r="A9">
            <v>31</v>
          </cell>
          <cell r="B9">
            <v>40</v>
          </cell>
          <cell r="C9" t="str">
            <v>31-40</v>
          </cell>
          <cell r="D9">
            <v>0.15</v>
          </cell>
        </row>
        <row r="10">
          <cell r="A10">
            <v>41</v>
          </cell>
          <cell r="B10">
            <v>45</v>
          </cell>
          <cell r="C10" t="str">
            <v>41-45</v>
          </cell>
          <cell r="D10">
            <v>0.2</v>
          </cell>
        </row>
        <row r="11">
          <cell r="A11">
            <v>46</v>
          </cell>
          <cell r="B11"/>
          <cell r="C11">
            <v>46</v>
          </cell>
          <cell r="D11">
            <v>1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showGridLines="0" tabSelected="1" workbookViewId="0">
      <selection activeCell="H17" sqref="H17"/>
    </sheetView>
  </sheetViews>
  <sheetFormatPr baseColWidth="10" defaultColWidth="0" defaultRowHeight="15" zeroHeight="1" x14ac:dyDescent="0.25"/>
  <cols>
    <col min="1" max="1" width="29.7109375" bestFit="1" customWidth="1"/>
    <col min="2" max="10" width="11.42578125" customWidth="1"/>
    <col min="11" max="16384" width="11.42578125" hidden="1"/>
  </cols>
  <sheetData>
    <row r="1" spans="1:9" ht="21.75" thickBot="1" x14ac:dyDescent="0.4">
      <c r="A1" s="159" t="s">
        <v>238</v>
      </c>
      <c r="B1" s="159"/>
      <c r="C1" s="159"/>
      <c r="D1" s="159"/>
      <c r="E1" s="159"/>
      <c r="F1" s="159"/>
      <c r="G1" s="159"/>
      <c r="H1" s="159"/>
      <c r="I1" s="159"/>
    </row>
    <row r="2" spans="1:9" ht="16.5" thickTop="1" thickBot="1" x14ac:dyDescent="0.3"/>
    <row r="3" spans="1:9" x14ac:dyDescent="0.25">
      <c r="A3" s="136" t="s">
        <v>239</v>
      </c>
      <c r="C3" s="152" t="s">
        <v>244</v>
      </c>
      <c r="D3" s="153"/>
      <c r="E3" s="154"/>
      <c r="G3" s="152" t="s">
        <v>251</v>
      </c>
      <c r="H3" s="153"/>
      <c r="I3" s="154"/>
    </row>
    <row r="4" spans="1:9" x14ac:dyDescent="0.25">
      <c r="A4" s="132"/>
      <c r="C4" s="138"/>
      <c r="D4" s="98"/>
      <c r="E4" s="139"/>
      <c r="G4" s="146"/>
      <c r="H4" s="147"/>
      <c r="I4" s="148"/>
    </row>
    <row r="5" spans="1:9" ht="27" customHeight="1" x14ac:dyDescent="0.25">
      <c r="A5" s="134" t="s">
        <v>240</v>
      </c>
      <c r="C5" s="140" t="s">
        <v>245</v>
      </c>
      <c r="D5" s="137"/>
      <c r="E5" s="141"/>
      <c r="G5" s="160" t="s">
        <v>249</v>
      </c>
      <c r="H5" s="161"/>
      <c r="I5" s="162"/>
    </row>
    <row r="6" spans="1:9" ht="15.75" thickBot="1" x14ac:dyDescent="0.3">
      <c r="A6" s="132"/>
      <c r="C6" s="142"/>
      <c r="D6" s="143"/>
      <c r="E6" s="144"/>
      <c r="G6" s="146"/>
      <c r="H6" s="147"/>
      <c r="I6" s="148"/>
    </row>
    <row r="7" spans="1:9" x14ac:dyDescent="0.25">
      <c r="A7" s="134" t="s">
        <v>241</v>
      </c>
      <c r="G7" s="146"/>
      <c r="H7" s="147"/>
      <c r="I7" s="148"/>
    </row>
    <row r="8" spans="1:9" x14ac:dyDescent="0.25">
      <c r="A8" s="132"/>
      <c r="G8" s="146"/>
      <c r="H8" s="147"/>
      <c r="I8" s="148"/>
    </row>
    <row r="9" spans="1:9" ht="15.75" thickBot="1" x14ac:dyDescent="0.3">
      <c r="A9" s="133"/>
      <c r="G9" s="146"/>
      <c r="H9" s="147"/>
      <c r="I9" s="148"/>
    </row>
    <row r="10" spans="1:9" ht="30.75" customHeight="1" thickBot="1" x14ac:dyDescent="0.3">
      <c r="D10" t="s">
        <v>246</v>
      </c>
      <c r="E10" s="155" t="s">
        <v>70</v>
      </c>
      <c r="G10" s="140" t="s">
        <v>247</v>
      </c>
      <c r="H10" s="137"/>
      <c r="I10" s="141"/>
    </row>
    <row r="11" spans="1:9" ht="15.75" thickBot="1" x14ac:dyDescent="0.3">
      <c r="A11" s="136" t="s">
        <v>242</v>
      </c>
      <c r="G11" s="149"/>
      <c r="H11" s="150"/>
      <c r="I11" s="151"/>
    </row>
    <row r="12" spans="1:9" x14ac:dyDescent="0.25">
      <c r="A12" s="130"/>
      <c r="G12" s="145"/>
      <c r="H12" s="145"/>
      <c r="I12" s="145"/>
    </row>
    <row r="13" spans="1:9" x14ac:dyDescent="0.25">
      <c r="A13" s="135" t="s">
        <v>243</v>
      </c>
      <c r="D13" t="s">
        <v>250</v>
      </c>
    </row>
    <row r="14" spans="1:9" ht="15.75" thickBot="1" x14ac:dyDescent="0.3">
      <c r="A14" s="131"/>
    </row>
    <row r="15" spans="1:9" ht="15.75" thickBot="1" x14ac:dyDescent="0.3">
      <c r="C15" s="156" t="s">
        <v>248</v>
      </c>
      <c r="D15" s="157"/>
      <c r="E15" s="158"/>
    </row>
    <row r="16" spans="1:9" x14ac:dyDescent="0.25"/>
    <row r="17" x14ac:dyDescent="0.25"/>
    <row r="18" x14ac:dyDescent="0.25"/>
  </sheetData>
  <mergeCells count="7">
    <mergeCell ref="A1:I1"/>
    <mergeCell ref="C5:E5"/>
    <mergeCell ref="G3:I3"/>
    <mergeCell ref="G5:I5"/>
    <mergeCell ref="G10:I10"/>
    <mergeCell ref="C3:E3"/>
    <mergeCell ref="C15:E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Views>
    <sheetView showGridLines="0" zoomScale="70" zoomScaleNormal="70" workbookViewId="0">
      <selection activeCell="N17" sqref="N17"/>
    </sheetView>
  </sheetViews>
  <sheetFormatPr baseColWidth="10" defaultRowHeight="15" x14ac:dyDescent="0.25"/>
  <cols>
    <col min="1" max="1" width="14.28515625" customWidth="1"/>
    <col min="2" max="2" width="14.140625" customWidth="1"/>
    <col min="3" max="3" width="13" customWidth="1"/>
  </cols>
  <sheetData>
    <row r="1" spans="1:25" ht="23.25" x14ac:dyDescent="0.35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</row>
    <row r="2" spans="1:25" ht="21" x14ac:dyDescent="0.35">
      <c r="A2" s="100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</row>
    <row r="6" spans="1:25" ht="42.75" customHeight="1" x14ac:dyDescent="0.25">
      <c r="A6" s="78" t="s">
        <v>173</v>
      </c>
    </row>
    <row r="7" spans="1:25" ht="37.5" customHeight="1" x14ac:dyDescent="0.25">
      <c r="A7" s="8"/>
    </row>
    <row r="9" spans="1:25" ht="39" customHeight="1" x14ac:dyDescent="0.25"/>
    <row r="10" spans="1:25" ht="30" customHeight="1" x14ac:dyDescent="0.25"/>
    <row r="12" spans="1:25" ht="21" x14ac:dyDescent="0.25">
      <c r="A12" s="78" t="s">
        <v>174</v>
      </c>
    </row>
  </sheetData>
  <mergeCells count="2">
    <mergeCell ref="A1:Y1"/>
    <mergeCell ref="A2:Y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topLeftCell="B1" workbookViewId="0">
      <selection activeCell="C12" sqref="A12:XFD1048576"/>
    </sheetView>
  </sheetViews>
  <sheetFormatPr baseColWidth="10" defaultColWidth="0" defaultRowHeight="15" zeroHeight="1" x14ac:dyDescent="0.25"/>
  <cols>
    <col min="1" max="1" width="11.42578125" customWidth="1"/>
    <col min="2" max="2" width="22.42578125" customWidth="1"/>
    <col min="3" max="3" width="23" customWidth="1"/>
    <col min="4" max="4" width="35" customWidth="1"/>
    <col min="5" max="5" width="11.42578125" customWidth="1"/>
    <col min="6" max="6" width="4" customWidth="1"/>
    <col min="7" max="16384" width="11.42578125" hidden="1"/>
  </cols>
  <sheetData>
    <row r="1" spans="1:5" x14ac:dyDescent="0.25">
      <c r="A1" s="102" t="s">
        <v>181</v>
      </c>
      <c r="B1" s="102"/>
      <c r="C1" s="102"/>
      <c r="D1" s="102"/>
      <c r="E1" s="102"/>
    </row>
    <row r="2" spans="1:5" ht="15.75" thickBot="1" x14ac:dyDescent="0.3">
      <c r="A2" s="103"/>
      <c r="B2" s="103"/>
      <c r="C2" s="103"/>
      <c r="D2" s="103"/>
      <c r="E2" s="103"/>
    </row>
    <row r="3" spans="1:5" ht="15.75" thickTop="1" x14ac:dyDescent="0.25"/>
    <row r="4" spans="1:5" ht="15.75" x14ac:dyDescent="0.25">
      <c r="B4" s="14" t="s">
        <v>43</v>
      </c>
      <c r="C4" s="14" t="s">
        <v>175</v>
      </c>
      <c r="D4" s="14" t="s">
        <v>176</v>
      </c>
    </row>
    <row r="5" spans="1:5" x14ac:dyDescent="0.25">
      <c r="B5" s="101" t="s">
        <v>177</v>
      </c>
      <c r="C5" s="101"/>
      <c r="D5" s="101"/>
    </row>
    <row r="6" spans="1:5" x14ac:dyDescent="0.25">
      <c r="B6" s="79" t="s">
        <v>178</v>
      </c>
      <c r="C6" s="79" t="str">
        <f>'Solicitud de Crédito'!D6</f>
        <v>Empresa Ejemplo S.A.</v>
      </c>
      <c r="D6" s="83" t="s">
        <v>182</v>
      </c>
    </row>
    <row r="7" spans="1:5" ht="28.5" x14ac:dyDescent="0.25">
      <c r="B7" s="79" t="s">
        <v>179</v>
      </c>
      <c r="C7" s="81">
        <v>50000</v>
      </c>
      <c r="D7" s="80" t="s">
        <v>183</v>
      </c>
    </row>
    <row r="8" spans="1:5" ht="28.5" x14ac:dyDescent="0.25">
      <c r="B8" s="79" t="s">
        <v>180</v>
      </c>
      <c r="C8" s="79">
        <f>'Scoring de Otorgamiento'!D12</f>
        <v>1480</v>
      </c>
      <c r="D8" s="83" t="s">
        <v>184</v>
      </c>
    </row>
    <row r="9" spans="1:5" x14ac:dyDescent="0.25">
      <c r="B9" s="82" t="s">
        <v>177</v>
      </c>
      <c r="C9" s="79" t="str">
        <f>'Scoring de Otorgamiento'!D13</f>
        <v>Aprobado</v>
      </c>
      <c r="D9" s="83" t="s">
        <v>185</v>
      </c>
    </row>
    <row r="10" spans="1:5" x14ac:dyDescent="0.25"/>
    <row r="11" spans="1:5" x14ac:dyDescent="0.25"/>
  </sheetData>
  <mergeCells count="2">
    <mergeCell ref="B5:D5"/>
    <mergeCell ref="A1:E2"/>
  </mergeCells>
  <conditionalFormatting sqref="C9">
    <cfRule type="containsText" dxfId="5" priority="1" operator="containsText" text="No Aprobado">
      <formula>NOT(ISERROR(SEARCH("No Aprobado",C9)))</formula>
    </cfRule>
    <cfRule type="containsText" dxfId="4" priority="2" operator="containsText" text="Aprobado">
      <formula>NOT(ISERROR(SEARCH("Aprobado",C9)))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showGridLines="0" zoomScale="90" zoomScaleNormal="90" workbookViewId="0">
      <selection activeCell="D16" sqref="D16"/>
    </sheetView>
  </sheetViews>
  <sheetFormatPr baseColWidth="10" defaultColWidth="0" defaultRowHeight="15" zeroHeight="1" x14ac:dyDescent="0.25"/>
  <cols>
    <col min="1" max="1" width="3.42578125" customWidth="1"/>
    <col min="2" max="2" width="33.7109375" customWidth="1"/>
    <col min="3" max="4" width="17.85546875" customWidth="1"/>
    <col min="5" max="5" width="13.7109375" customWidth="1"/>
    <col min="6" max="6" width="6.5703125" customWidth="1"/>
    <col min="7" max="16384" width="11.42578125" hidden="1"/>
  </cols>
  <sheetData>
    <row r="1" spans="1:5" x14ac:dyDescent="0.25">
      <c r="A1" s="102" t="s">
        <v>68</v>
      </c>
      <c r="B1" s="102"/>
      <c r="C1" s="102"/>
      <c r="D1" s="102"/>
      <c r="E1" s="102"/>
    </row>
    <row r="2" spans="1:5" ht="15.75" thickBot="1" x14ac:dyDescent="0.3">
      <c r="A2" s="103"/>
      <c r="B2" s="103"/>
      <c r="C2" s="103"/>
      <c r="D2" s="103"/>
      <c r="E2" s="103"/>
    </row>
    <row r="3" spans="1:5" ht="15.75" thickTop="1" x14ac:dyDescent="0.25"/>
    <row r="4" spans="1:5" ht="31.5" x14ac:dyDescent="0.25">
      <c r="B4" s="14" t="s">
        <v>43</v>
      </c>
      <c r="C4" s="14" t="s">
        <v>44</v>
      </c>
      <c r="D4" s="14" t="s">
        <v>45</v>
      </c>
      <c r="E4" s="25" t="s">
        <v>100</v>
      </c>
    </row>
    <row r="5" spans="1:5" ht="24.75" customHeight="1" x14ac:dyDescent="0.25">
      <c r="B5" s="104" t="s">
        <v>46</v>
      </c>
      <c r="C5" s="105"/>
      <c r="D5" s="105"/>
      <c r="E5" s="105"/>
    </row>
    <row r="6" spans="1:5" x14ac:dyDescent="0.25">
      <c r="B6" s="9" t="s">
        <v>47</v>
      </c>
      <c r="C6" s="10" t="s">
        <v>48</v>
      </c>
      <c r="D6" s="10" t="s">
        <v>49</v>
      </c>
      <c r="E6" s="23">
        <f>IF(D6="",0,100)</f>
        <v>100</v>
      </c>
    </row>
    <row r="7" spans="1:5" x14ac:dyDescent="0.25">
      <c r="B7" s="9" t="s">
        <v>50</v>
      </c>
      <c r="C7" s="10" t="s">
        <v>48</v>
      </c>
      <c r="D7" s="10" t="s">
        <v>51</v>
      </c>
      <c r="E7" s="23">
        <f>IF(D7="",0,100)</f>
        <v>100</v>
      </c>
    </row>
    <row r="8" spans="1:5" x14ac:dyDescent="0.25">
      <c r="B8" s="9" t="s">
        <v>52</v>
      </c>
      <c r="C8" s="10" t="s">
        <v>48</v>
      </c>
      <c r="D8" s="10" t="s">
        <v>53</v>
      </c>
      <c r="E8" s="23">
        <f>IF(D8="",0,100)</f>
        <v>100</v>
      </c>
    </row>
    <row r="9" spans="1:5" x14ac:dyDescent="0.25">
      <c r="B9" s="9" t="s">
        <v>56</v>
      </c>
      <c r="C9" s="10" t="s">
        <v>48</v>
      </c>
      <c r="D9" s="10" t="s">
        <v>57</v>
      </c>
      <c r="E9" s="23">
        <f>IF(D9="",0,100)</f>
        <v>100</v>
      </c>
    </row>
    <row r="10" spans="1:5" x14ac:dyDescent="0.25">
      <c r="B10" s="11" t="s">
        <v>58</v>
      </c>
      <c r="C10" s="10" t="s">
        <v>48</v>
      </c>
      <c r="D10" s="10" t="s">
        <v>101</v>
      </c>
      <c r="E10" s="26">
        <f>VLOOKUP(D10,Despegables!$D$4:$E$9,2,0)</f>
        <v>100</v>
      </c>
    </row>
    <row r="11" spans="1:5" x14ac:dyDescent="0.25">
      <c r="B11" s="9" t="s">
        <v>54</v>
      </c>
      <c r="C11" s="10" t="s">
        <v>55</v>
      </c>
      <c r="D11" s="10">
        <v>3</v>
      </c>
      <c r="E11" s="26">
        <f>IF(D11&gt;=2,100,0)</f>
        <v>100</v>
      </c>
    </row>
    <row r="12" spans="1:5" x14ac:dyDescent="0.25">
      <c r="B12" s="11" t="s">
        <v>59</v>
      </c>
      <c r="C12" s="10" t="s">
        <v>48</v>
      </c>
      <c r="D12" s="13" t="s">
        <v>112</v>
      </c>
      <c r="E12" s="26">
        <f>VLOOKUP(D12,Despegables!$I$4:$J$6,2,0)</f>
        <v>90</v>
      </c>
    </row>
    <row r="13" spans="1:5" x14ac:dyDescent="0.25">
      <c r="E13" s="28">
        <f>SUM(E6:E12)</f>
        <v>690</v>
      </c>
    </row>
    <row r="14" spans="1:5" x14ac:dyDescent="0.25"/>
    <row r="15" spans="1:5" ht="22.5" customHeight="1" x14ac:dyDescent="0.25">
      <c r="B15" s="106" t="s">
        <v>60</v>
      </c>
      <c r="C15" s="107"/>
      <c r="D15" s="107"/>
      <c r="E15" s="107"/>
    </row>
    <row r="16" spans="1:5" ht="16.5" customHeight="1" x14ac:dyDescent="0.25">
      <c r="B16" s="11" t="s">
        <v>65</v>
      </c>
      <c r="C16" s="13" t="s">
        <v>62</v>
      </c>
      <c r="D16" s="33" t="s">
        <v>69</v>
      </c>
      <c r="E16" s="27">
        <f>IF(D16="Si",100,0)</f>
        <v>100</v>
      </c>
    </row>
    <row r="17" spans="2:5" ht="15.75" customHeight="1" x14ac:dyDescent="0.25">
      <c r="B17" s="11" t="s">
        <v>64</v>
      </c>
      <c r="C17" s="13" t="s">
        <v>62</v>
      </c>
      <c r="D17" s="33" t="s">
        <v>69</v>
      </c>
      <c r="E17" s="27">
        <f t="shared" ref="E17:E21" si="0">IF(D17="Si",100,0)</f>
        <v>100</v>
      </c>
    </row>
    <row r="18" spans="2:5" x14ac:dyDescent="0.25">
      <c r="B18" s="11" t="s">
        <v>66</v>
      </c>
      <c r="C18" s="13" t="s">
        <v>62</v>
      </c>
      <c r="D18" s="33" t="s">
        <v>70</v>
      </c>
      <c r="E18" s="27">
        <f t="shared" si="0"/>
        <v>0</v>
      </c>
    </row>
    <row r="19" spans="2:5" x14ac:dyDescent="0.25">
      <c r="B19" s="11" t="s">
        <v>61</v>
      </c>
      <c r="C19" s="13" t="s">
        <v>62</v>
      </c>
      <c r="D19" s="33" t="s">
        <v>69</v>
      </c>
      <c r="E19" s="27">
        <f t="shared" si="0"/>
        <v>100</v>
      </c>
    </row>
    <row r="20" spans="2:5" x14ac:dyDescent="0.25">
      <c r="B20" s="11" t="s">
        <v>63</v>
      </c>
      <c r="C20" s="13" t="s">
        <v>62</v>
      </c>
      <c r="D20" s="33" t="s">
        <v>70</v>
      </c>
      <c r="E20" s="27">
        <f t="shared" si="0"/>
        <v>0</v>
      </c>
    </row>
    <row r="21" spans="2:5" x14ac:dyDescent="0.25">
      <c r="B21" s="11" t="s">
        <v>67</v>
      </c>
      <c r="C21" s="13" t="s">
        <v>62</v>
      </c>
      <c r="D21" s="33" t="s">
        <v>69</v>
      </c>
      <c r="E21" s="27">
        <f t="shared" si="0"/>
        <v>100</v>
      </c>
    </row>
    <row r="22" spans="2:5" x14ac:dyDescent="0.25">
      <c r="E22" s="28">
        <f>SUM(E16:E21)</f>
        <v>400</v>
      </c>
    </row>
  </sheetData>
  <mergeCells count="3">
    <mergeCell ref="A1:E2"/>
    <mergeCell ref="B5:E5"/>
    <mergeCell ref="B15:E1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Despegables!$A$4:$A$5</xm:f>
          </x14:formula1>
          <xm:sqref>D16:D21</xm:sqref>
        </x14:dataValidation>
        <x14:dataValidation type="list" allowBlank="1" showInputMessage="1" showErrorMessage="1">
          <x14:formula1>
            <xm:f>Despegables!$I$4:$I$6</xm:f>
          </x14:formula1>
          <xm:sqref>D12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zoomScale="85" zoomScaleNormal="85" workbookViewId="0">
      <selection activeCell="F19" sqref="F19:F20"/>
    </sheetView>
  </sheetViews>
  <sheetFormatPr baseColWidth="10" defaultColWidth="0" defaultRowHeight="15" zeroHeight="1" x14ac:dyDescent="0.25"/>
  <cols>
    <col min="1" max="1" width="4.7109375" customWidth="1"/>
    <col min="2" max="2" width="31.28515625" customWidth="1"/>
    <col min="3" max="3" width="19.5703125" customWidth="1"/>
    <col min="4" max="4" width="25.85546875" customWidth="1"/>
    <col min="5" max="5" width="6.140625" customWidth="1"/>
    <col min="6" max="6" width="13" customWidth="1"/>
    <col min="7" max="7" width="3.85546875" customWidth="1"/>
    <col min="8" max="16384" width="11.42578125" hidden="1"/>
  </cols>
  <sheetData>
    <row r="1" spans="1:6" x14ac:dyDescent="0.25">
      <c r="A1" s="102" t="s">
        <v>89</v>
      </c>
      <c r="B1" s="102"/>
      <c r="C1" s="102"/>
      <c r="D1" s="102"/>
      <c r="E1" s="102"/>
      <c r="F1" s="102"/>
    </row>
    <row r="2" spans="1:6" ht="15.75" thickBot="1" x14ac:dyDescent="0.3">
      <c r="A2" s="103"/>
      <c r="B2" s="103"/>
      <c r="C2" s="103"/>
      <c r="D2" s="103"/>
      <c r="E2" s="103"/>
      <c r="F2" s="103"/>
    </row>
    <row r="3" spans="1:6" ht="15.75" thickTop="1" x14ac:dyDescent="0.25"/>
    <row r="4" spans="1:6" ht="31.5" x14ac:dyDescent="0.25">
      <c r="B4" s="14" t="s">
        <v>43</v>
      </c>
      <c r="C4" s="14" t="s">
        <v>71</v>
      </c>
      <c r="D4" s="14" t="s">
        <v>72</v>
      </c>
      <c r="E4" s="14" t="s">
        <v>114</v>
      </c>
      <c r="F4" s="25" t="s">
        <v>100</v>
      </c>
    </row>
    <row r="5" spans="1:6" ht="15" customHeight="1" x14ac:dyDescent="0.25">
      <c r="B5" s="101" t="s">
        <v>73</v>
      </c>
      <c r="C5" s="101"/>
      <c r="D5" s="101"/>
      <c r="E5" s="101"/>
      <c r="F5" s="101"/>
    </row>
    <row r="6" spans="1:6" x14ac:dyDescent="0.25">
      <c r="B6" s="9" t="s">
        <v>74</v>
      </c>
      <c r="C6" s="15">
        <v>200000</v>
      </c>
      <c r="D6" s="10"/>
      <c r="E6" s="10"/>
      <c r="F6" s="23"/>
    </row>
    <row r="7" spans="1:6" x14ac:dyDescent="0.25">
      <c r="B7" s="9" t="s">
        <v>75</v>
      </c>
      <c r="C7" s="15">
        <v>120000</v>
      </c>
      <c r="D7" s="10"/>
      <c r="E7" s="10"/>
      <c r="F7" s="23"/>
    </row>
    <row r="8" spans="1:6" x14ac:dyDescent="0.25">
      <c r="B8" s="16" t="s">
        <v>76</v>
      </c>
      <c r="C8" s="17">
        <f>C6-C7</f>
        <v>80000</v>
      </c>
      <c r="D8" s="18" t="s">
        <v>86</v>
      </c>
      <c r="E8" s="47">
        <f>C8/C6</f>
        <v>0.4</v>
      </c>
      <c r="F8" s="23">
        <f>VLOOKUP(E8,Despegables!$C$13:$F$18,4,1)</f>
        <v>80</v>
      </c>
    </row>
    <row r="9" spans="1:6" x14ac:dyDescent="0.25">
      <c r="B9" s="9" t="s">
        <v>77</v>
      </c>
      <c r="C9" s="15">
        <v>50000</v>
      </c>
      <c r="D9" s="22"/>
      <c r="E9" s="48"/>
      <c r="F9" s="23"/>
    </row>
    <row r="10" spans="1:6" x14ac:dyDescent="0.25">
      <c r="B10" s="16" t="s">
        <v>78</v>
      </c>
      <c r="C10" s="17">
        <f>C8-C9</f>
        <v>30000</v>
      </c>
      <c r="D10" s="18" t="s">
        <v>87</v>
      </c>
      <c r="E10" s="47">
        <f>C10/C6</f>
        <v>0.15</v>
      </c>
      <c r="F10" s="23">
        <f>VLOOKUP(E10,Despegables!$C$19:$F$24,4,1)</f>
        <v>50</v>
      </c>
    </row>
    <row r="11" spans="1:6" x14ac:dyDescent="0.25">
      <c r="B11" s="19"/>
      <c r="C11" s="20"/>
      <c r="D11" s="21"/>
      <c r="E11" s="21"/>
      <c r="F11" s="28">
        <f>SUM(F8+F10)</f>
        <v>130</v>
      </c>
    </row>
    <row r="12" spans="1:6" x14ac:dyDescent="0.25">
      <c r="B12" s="19"/>
      <c r="C12" s="20"/>
      <c r="D12" s="21"/>
      <c r="E12" s="21"/>
    </row>
    <row r="13" spans="1:6" x14ac:dyDescent="0.25">
      <c r="B13" s="101" t="s">
        <v>79</v>
      </c>
      <c r="C13" s="101"/>
      <c r="D13" s="101"/>
      <c r="E13" s="101"/>
      <c r="F13" s="101"/>
    </row>
    <row r="14" spans="1:6" x14ac:dyDescent="0.25">
      <c r="B14" s="9" t="s">
        <v>80</v>
      </c>
      <c r="C14" s="15">
        <v>60000</v>
      </c>
      <c r="D14" s="10"/>
      <c r="E14" s="10"/>
      <c r="F14" s="12"/>
    </row>
    <row r="15" spans="1:6" x14ac:dyDescent="0.25">
      <c r="B15" s="9" t="s">
        <v>81</v>
      </c>
      <c r="C15" s="15">
        <v>30000</v>
      </c>
      <c r="D15" s="10"/>
      <c r="E15" s="10"/>
      <c r="F15" s="12"/>
    </row>
    <row r="16" spans="1:6" x14ac:dyDescent="0.25">
      <c r="B16" s="9" t="s">
        <v>82</v>
      </c>
      <c r="C16" s="15">
        <v>50000</v>
      </c>
      <c r="D16" s="10"/>
      <c r="E16" s="10"/>
      <c r="F16" s="12"/>
    </row>
    <row r="17" spans="2:6" x14ac:dyDescent="0.25">
      <c r="B17" s="44"/>
      <c r="C17" s="45"/>
      <c r="D17" s="46"/>
      <c r="E17" s="46"/>
    </row>
    <row r="18" spans="2:6" x14ac:dyDescent="0.25">
      <c r="B18" s="101" t="s">
        <v>83</v>
      </c>
      <c r="C18" s="101"/>
      <c r="D18" s="101"/>
      <c r="E18" s="101"/>
      <c r="F18" s="101"/>
    </row>
    <row r="19" spans="2:6" x14ac:dyDescent="0.25">
      <c r="B19" s="16" t="s">
        <v>84</v>
      </c>
      <c r="C19" s="53">
        <f>((C14+C15)/C16)/100</f>
        <v>1.8000000000000002E-2</v>
      </c>
      <c r="D19" s="18" t="s">
        <v>126</v>
      </c>
      <c r="E19" s="18"/>
      <c r="F19" s="33">
        <f>VLOOKUP(C19,Despegables!$J$13:$M$15,4,1)</f>
        <v>100</v>
      </c>
    </row>
    <row r="20" spans="2:6" x14ac:dyDescent="0.25">
      <c r="B20" s="16" t="s">
        <v>85</v>
      </c>
      <c r="C20" s="52">
        <f>(C10/C6)</f>
        <v>0.15</v>
      </c>
      <c r="D20" s="18" t="s">
        <v>88</v>
      </c>
      <c r="E20" s="18"/>
      <c r="F20" s="33">
        <f>VLOOKUP(C20,Despegables!$J$19:$M$22,4,1)</f>
        <v>70</v>
      </c>
    </row>
    <row r="21" spans="2:6" x14ac:dyDescent="0.25">
      <c r="B21" s="19"/>
      <c r="C21" s="60"/>
      <c r="D21" s="21"/>
      <c r="E21" s="21"/>
      <c r="F21" s="28">
        <f>SUM(F19:F20)</f>
        <v>170</v>
      </c>
    </row>
    <row r="22" spans="2:6" ht="14.25" customHeight="1" x14ac:dyDescent="0.25"/>
  </sheetData>
  <mergeCells count="4">
    <mergeCell ref="A1:F2"/>
    <mergeCell ref="B5:F5"/>
    <mergeCell ref="B13:F13"/>
    <mergeCell ref="B18:F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showGridLines="0" workbookViewId="0">
      <selection activeCell="B7" sqref="B7"/>
    </sheetView>
  </sheetViews>
  <sheetFormatPr baseColWidth="10" defaultColWidth="0" defaultRowHeight="15" zeroHeight="1" x14ac:dyDescent="0.25"/>
  <cols>
    <col min="1" max="1" width="11.42578125" customWidth="1"/>
    <col min="2" max="2" width="32.28515625" bestFit="1" customWidth="1"/>
    <col min="3" max="5" width="11.42578125" customWidth="1"/>
    <col min="6" max="6" width="5.28515625" customWidth="1"/>
    <col min="7" max="7" width="5.140625" customWidth="1"/>
    <col min="8" max="16384" width="11.42578125" hidden="1"/>
  </cols>
  <sheetData>
    <row r="1" spans="1:6" x14ac:dyDescent="0.25">
      <c r="A1" s="102" t="s">
        <v>157</v>
      </c>
      <c r="B1" s="102"/>
      <c r="C1" s="102"/>
      <c r="D1" s="102"/>
      <c r="E1" s="102"/>
      <c r="F1" s="102"/>
    </row>
    <row r="2" spans="1:6" ht="15.75" thickBot="1" x14ac:dyDescent="0.3">
      <c r="A2" s="103"/>
      <c r="B2" s="103"/>
      <c r="C2" s="103"/>
      <c r="D2" s="103"/>
      <c r="E2" s="103"/>
      <c r="F2" s="103"/>
    </row>
    <row r="3" spans="1:6" ht="15.75" thickTop="1" x14ac:dyDescent="0.25"/>
    <row r="4" spans="1:6" x14ac:dyDescent="0.25">
      <c r="A4" t="s">
        <v>149</v>
      </c>
    </row>
    <row r="5" spans="1:6" x14ac:dyDescent="0.25"/>
    <row r="6" spans="1:6" x14ac:dyDescent="0.25">
      <c r="B6" s="64" t="s">
        <v>150</v>
      </c>
      <c r="C6" s="64" t="s">
        <v>151</v>
      </c>
      <c r="D6" s="64" t="s">
        <v>103</v>
      </c>
    </row>
    <row r="7" spans="1:6" x14ac:dyDescent="0.25">
      <c r="B7" s="12" t="s">
        <v>152</v>
      </c>
      <c r="C7" s="33">
        <v>700</v>
      </c>
      <c r="D7" s="12">
        <f>VLOOKUP(C7,Despegables!$J$26:$M$28,4,1)</f>
        <v>90</v>
      </c>
    </row>
    <row r="8" spans="1:6" x14ac:dyDescent="0.25">
      <c r="C8" s="61"/>
    </row>
    <row r="9" spans="1:6" x14ac:dyDescent="0.25">
      <c r="C9" s="62"/>
    </row>
    <row r="10" spans="1:6" hidden="1" x14ac:dyDescent="0.25">
      <c r="C10" s="62"/>
    </row>
  </sheetData>
  <mergeCells count="1">
    <mergeCell ref="A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5"/>
  <sheetViews>
    <sheetView showGridLines="0" topLeftCell="A4" zoomScale="90" zoomScaleNormal="90" workbookViewId="0">
      <selection activeCell="C13" sqref="C13"/>
    </sheetView>
  </sheetViews>
  <sheetFormatPr baseColWidth="10" defaultColWidth="0" defaultRowHeight="15" zeroHeight="1" x14ac:dyDescent="0.25"/>
  <cols>
    <col min="1" max="1" width="11.42578125" customWidth="1"/>
    <col min="2" max="2" width="32" customWidth="1"/>
    <col min="3" max="3" width="14.7109375" customWidth="1"/>
    <col min="4" max="4" width="13" customWidth="1"/>
    <col min="5" max="5" width="8.7109375" customWidth="1"/>
    <col min="6" max="6" width="2.85546875" customWidth="1"/>
    <col min="7" max="7" width="3.7109375" customWidth="1"/>
    <col min="8" max="8" width="4.28515625" customWidth="1"/>
    <col min="9" max="9" width="3.28515625" customWidth="1"/>
    <col min="10" max="10" width="4.42578125" customWidth="1"/>
    <col min="11" max="11" width="3.42578125" customWidth="1"/>
    <col min="12" max="12" width="8.140625" customWidth="1"/>
    <col min="13" max="16384" width="11.42578125" hidden="1"/>
  </cols>
  <sheetData>
    <row r="1" spans="1:11" ht="15" customHeight="1" x14ac:dyDescent="0.25">
      <c r="A1" s="102" t="s">
        <v>158</v>
      </c>
      <c r="B1" s="102"/>
      <c r="C1" s="102"/>
      <c r="D1" s="102"/>
      <c r="E1" s="102"/>
      <c r="F1" s="102"/>
      <c r="G1" s="102"/>
    </row>
    <row r="2" spans="1:11" ht="15.75" customHeight="1" x14ac:dyDescent="0.25">
      <c r="A2" s="102"/>
      <c r="B2" s="102"/>
      <c r="C2" s="102"/>
      <c r="D2" s="102"/>
      <c r="E2" s="102"/>
      <c r="F2" s="102"/>
      <c r="G2" s="102"/>
    </row>
    <row r="3" spans="1:11" x14ac:dyDescent="0.25"/>
    <row r="4" spans="1:11" x14ac:dyDescent="0.25"/>
    <row r="5" spans="1:11" ht="31.5" x14ac:dyDescent="0.25">
      <c r="B5" s="14" t="s">
        <v>90</v>
      </c>
      <c r="C5" s="14" t="s">
        <v>91</v>
      </c>
      <c r="D5" s="14" t="s">
        <v>92</v>
      </c>
    </row>
    <row r="6" spans="1:11" ht="15.75" customHeight="1" x14ac:dyDescent="0.25">
      <c r="B6" s="104" t="s">
        <v>93</v>
      </c>
      <c r="C6" s="105"/>
      <c r="D6" s="105"/>
    </row>
    <row r="7" spans="1:11" ht="15.75" thickBot="1" x14ac:dyDescent="0.3">
      <c r="B7" s="6" t="s">
        <v>145</v>
      </c>
      <c r="C7" s="7">
        <v>700</v>
      </c>
      <c r="D7" s="24">
        <f>'Solicitud de Crédito'!E13</f>
        <v>690</v>
      </c>
    </row>
    <row r="8" spans="1:11" ht="15.75" thickBot="1" x14ac:dyDescent="0.3">
      <c r="B8" s="6" t="s">
        <v>146</v>
      </c>
      <c r="C8" s="7">
        <v>600</v>
      </c>
      <c r="D8" s="24">
        <f>'Solicitud de Crédito'!E22</f>
        <v>400</v>
      </c>
    </row>
    <row r="9" spans="1:11" ht="15.75" thickBot="1" x14ac:dyDescent="0.3">
      <c r="B9" s="6" t="s">
        <v>147</v>
      </c>
      <c r="C9" s="7">
        <v>200</v>
      </c>
      <c r="D9" s="24">
        <f>'Análisis Financiero '!F11</f>
        <v>130</v>
      </c>
    </row>
    <row r="10" spans="1:11" ht="15.75" thickBot="1" x14ac:dyDescent="0.3">
      <c r="B10" s="6" t="s">
        <v>148</v>
      </c>
      <c r="C10" s="7">
        <v>200</v>
      </c>
      <c r="D10" s="24">
        <f>'Análisis Financiero '!F21</f>
        <v>170</v>
      </c>
    </row>
    <row r="11" spans="1:11" ht="15.75" thickBot="1" x14ac:dyDescent="0.3">
      <c r="B11" s="6" t="s">
        <v>94</v>
      </c>
      <c r="C11" s="7">
        <v>100</v>
      </c>
      <c r="D11" s="24">
        <f>'Historial Crediticio'!D7</f>
        <v>90</v>
      </c>
    </row>
    <row r="12" spans="1:11" ht="15.75" thickBot="1" x14ac:dyDescent="0.3">
      <c r="B12" s="65" t="s">
        <v>95</v>
      </c>
      <c r="C12" s="66">
        <f>SUM(C7:C11)</f>
        <v>1800</v>
      </c>
      <c r="D12" s="66">
        <f>SUM(D7:D11)</f>
        <v>1480</v>
      </c>
    </row>
    <row r="13" spans="1:11" ht="15.75" thickBot="1" x14ac:dyDescent="0.3">
      <c r="B13" s="65" t="s">
        <v>96</v>
      </c>
      <c r="C13" s="75">
        <f>D12/C12</f>
        <v>0.82222222222222219</v>
      </c>
      <c r="D13" s="66" t="str">
        <f>VLOOKUP(C13,Despegables!$M$4:$P$5,4,1)</f>
        <v>Aprobado</v>
      </c>
    </row>
    <row r="14" spans="1:11" x14ac:dyDescent="0.25">
      <c r="G14" s="71" t="s">
        <v>162</v>
      </c>
      <c r="H14" s="71"/>
      <c r="I14" s="71"/>
      <c r="J14" s="71"/>
      <c r="K14" s="71"/>
    </row>
    <row r="15" spans="1:11" x14ac:dyDescent="0.25">
      <c r="B15" s="73" t="s">
        <v>159</v>
      </c>
      <c r="C15" s="73" t="s">
        <v>160</v>
      </c>
      <c r="D15" s="74" t="s">
        <v>168</v>
      </c>
      <c r="E15" s="74" t="s">
        <v>161</v>
      </c>
      <c r="G15" s="72" t="s">
        <v>163</v>
      </c>
      <c r="H15" s="72" t="s">
        <v>164</v>
      </c>
      <c r="I15" s="72" t="s">
        <v>165</v>
      </c>
      <c r="J15" s="72" t="s">
        <v>166</v>
      </c>
      <c r="K15" s="72" t="s">
        <v>167</v>
      </c>
    </row>
    <row r="16" spans="1:11" x14ac:dyDescent="0.25">
      <c r="B16" s="67">
        <f>C12</f>
        <v>1800</v>
      </c>
      <c r="C16" s="68">
        <f>(D12/B16)*100</f>
        <v>82.222222222222214</v>
      </c>
      <c r="D16" s="23">
        <v>3</v>
      </c>
      <c r="E16" s="69">
        <f>SUM(G16:K16)-C16-D16</f>
        <v>114.77777777777779</v>
      </c>
      <c r="G16" s="71">
        <v>25</v>
      </c>
      <c r="H16" s="71">
        <v>25</v>
      </c>
      <c r="I16" s="71">
        <v>25</v>
      </c>
      <c r="J16" s="71">
        <v>25</v>
      </c>
      <c r="K16" s="71">
        <f>SUM(G16:J16)</f>
        <v>100</v>
      </c>
    </row>
    <row r="17" spans="7:11" x14ac:dyDescent="0.25">
      <c r="G17" s="71"/>
      <c r="H17" s="71"/>
      <c r="I17" s="71"/>
      <c r="J17" s="71"/>
      <c r="K17" s="71"/>
    </row>
    <row r="18" spans="7:11" x14ac:dyDescent="0.25"/>
    <row r="19" spans="7:11" x14ac:dyDescent="0.25"/>
    <row r="20" spans="7:11" x14ac:dyDescent="0.25"/>
    <row r="21" spans="7:11" x14ac:dyDescent="0.25"/>
    <row r="22" spans="7:11" x14ac:dyDescent="0.25"/>
    <row r="23" spans="7:11" x14ac:dyDescent="0.25"/>
    <row r="24" spans="7:11" x14ac:dyDescent="0.25"/>
    <row r="25" spans="7:11" x14ac:dyDescent="0.25"/>
    <row r="26" spans="7:11" x14ac:dyDescent="0.25"/>
    <row r="27" spans="7:11" x14ac:dyDescent="0.25"/>
    <row r="28" spans="7:11" x14ac:dyDescent="0.25"/>
    <row r="29" spans="7:11" x14ac:dyDescent="0.25"/>
    <row r="30" spans="7:11" x14ac:dyDescent="0.25"/>
    <row r="31" spans="7:11" x14ac:dyDescent="0.25"/>
    <row r="32" spans="7:11" x14ac:dyDescent="0.25"/>
    <row r="33" ht="14.25" customHeight="1" x14ac:dyDescent="0.25"/>
    <row r="34" x14ac:dyDescent="0.25"/>
    <row r="35" x14ac:dyDescent="0.25"/>
  </sheetData>
  <mergeCells count="2">
    <mergeCell ref="B6:D6"/>
    <mergeCell ref="A1:G2"/>
  </mergeCells>
  <conditionalFormatting sqref="D13">
    <cfRule type="containsText" dxfId="3" priority="1" operator="containsText" text="No Aprobado">
      <formula>NOT(ISERROR(SEARCH("No Aprobado",D13)))</formula>
    </cfRule>
    <cfRule type="containsText" dxfId="2" priority="6" operator="containsText" text="APROBADO">
      <formula>NOT(ISERROR(SEARCH("APROBADO",D13)))</formula>
    </cfRule>
  </conditionalFormatting>
  <conditionalFormatting sqref="C13">
    <cfRule type="cellIs" dxfId="1" priority="3" operator="lessThan">
      <formula>0.59</formula>
    </cfRule>
    <cfRule type="cellIs" dxfId="0" priority="4" operator="greaterThan">
      <formula>0.6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1"/>
  <sheetViews>
    <sheetView showGridLines="0" topLeftCell="A7" zoomScale="80" zoomScaleNormal="80" workbookViewId="0">
      <selection activeCell="J22" sqref="J22"/>
    </sheetView>
  </sheetViews>
  <sheetFormatPr baseColWidth="10" defaultRowHeight="15" x14ac:dyDescent="0.25"/>
  <cols>
    <col min="1" max="1" width="27.28515625" customWidth="1"/>
    <col min="2" max="2" width="33.28515625" customWidth="1"/>
    <col min="3" max="3" width="12" customWidth="1"/>
    <col min="4" max="4" width="8.7109375" customWidth="1"/>
    <col min="5" max="5" width="17.5703125" customWidth="1"/>
    <col min="6" max="6" width="17" customWidth="1"/>
    <col min="7" max="7" width="17.7109375" customWidth="1"/>
    <col min="8" max="8" width="22.28515625" customWidth="1"/>
  </cols>
  <sheetData>
    <row r="1" spans="1:10" ht="21" x14ac:dyDescent="0.35">
      <c r="A1" s="108" t="s">
        <v>222</v>
      </c>
      <c r="B1" s="108"/>
      <c r="C1" s="108"/>
      <c r="D1" s="108"/>
      <c r="E1" s="108"/>
      <c r="F1" s="108"/>
      <c r="G1" s="108"/>
      <c r="H1" s="108"/>
      <c r="I1" s="108"/>
      <c r="J1" s="108"/>
    </row>
    <row r="3" spans="1:10" x14ac:dyDescent="0.25">
      <c r="A3" s="93" t="s">
        <v>223</v>
      </c>
      <c r="B3" s="93" t="s">
        <v>224</v>
      </c>
    </row>
    <row r="4" spans="1:10" x14ac:dyDescent="0.25">
      <c r="A4" s="94" t="s">
        <v>225</v>
      </c>
      <c r="B4" s="95">
        <f>SUM(G21:G29)</f>
        <v>15150000</v>
      </c>
    </row>
    <row r="5" spans="1:10" x14ac:dyDescent="0.25">
      <c r="A5" s="94" t="s">
        <v>226</v>
      </c>
      <c r="B5" s="95">
        <f>SUM(H21:H29)</f>
        <v>410840</v>
      </c>
    </row>
    <row r="6" spans="1:10" x14ac:dyDescent="0.25">
      <c r="A6" s="94" t="s">
        <v>227</v>
      </c>
      <c r="B6" s="96">
        <f>B5/B4</f>
        <v>2.711815181518152E-2</v>
      </c>
    </row>
    <row r="8" spans="1:10" x14ac:dyDescent="0.25">
      <c r="A8" s="97" t="s">
        <v>228</v>
      </c>
    </row>
    <row r="9" spans="1:10" x14ac:dyDescent="0.25">
      <c r="A9" s="88" t="s">
        <v>229</v>
      </c>
      <c r="B9" s="88" t="s">
        <v>230</v>
      </c>
      <c r="C9" s="98"/>
    </row>
    <row r="10" spans="1:10" x14ac:dyDescent="0.25">
      <c r="A10" s="88" t="s">
        <v>231</v>
      </c>
      <c r="B10" s="88" t="s">
        <v>232</v>
      </c>
      <c r="C10" s="98"/>
    </row>
    <row r="11" spans="1:10" x14ac:dyDescent="0.25">
      <c r="A11" s="88" t="s">
        <v>233</v>
      </c>
      <c r="B11" s="88" t="s">
        <v>234</v>
      </c>
      <c r="C11" s="98"/>
    </row>
    <row r="12" spans="1:10" x14ac:dyDescent="0.25">
      <c r="A12" s="88" t="s">
        <v>235</v>
      </c>
      <c r="B12" s="88" t="s">
        <v>236</v>
      </c>
      <c r="C12" s="98"/>
    </row>
    <row r="14" spans="1:10" ht="18.75" x14ac:dyDescent="0.3">
      <c r="A14" s="129" t="s">
        <v>237</v>
      </c>
      <c r="B14" s="129"/>
    </row>
    <row r="16" spans="1:10" ht="18.75" x14ac:dyDescent="0.3">
      <c r="A16" s="109" t="s">
        <v>221</v>
      </c>
      <c r="B16" s="109"/>
      <c r="C16" s="109"/>
      <c r="D16" s="109"/>
      <c r="E16" s="109"/>
      <c r="F16" s="109"/>
      <c r="G16" s="109"/>
      <c r="H16" s="109"/>
      <c r="I16" s="109"/>
      <c r="J16" s="109"/>
    </row>
    <row r="18" spans="1:8" x14ac:dyDescent="0.25">
      <c r="A18" t="s">
        <v>220</v>
      </c>
    </row>
    <row r="20" spans="1:8" ht="30" x14ac:dyDescent="0.25">
      <c r="A20" s="90" t="s">
        <v>219</v>
      </c>
      <c r="B20" s="91" t="s">
        <v>218</v>
      </c>
      <c r="C20" s="91" t="s">
        <v>217</v>
      </c>
      <c r="D20" s="91" t="s">
        <v>216</v>
      </c>
      <c r="E20" s="92" t="s">
        <v>215</v>
      </c>
      <c r="F20" s="91" t="s">
        <v>214</v>
      </c>
      <c r="G20" s="90" t="s">
        <v>213</v>
      </c>
      <c r="H20" s="89" t="s">
        <v>212</v>
      </c>
    </row>
    <row r="21" spans="1:8" x14ac:dyDescent="0.25">
      <c r="A21" s="88" t="s">
        <v>211</v>
      </c>
      <c r="B21" s="86">
        <v>100000</v>
      </c>
      <c r="C21" s="86">
        <v>80000</v>
      </c>
      <c r="D21" s="88">
        <v>0</v>
      </c>
      <c r="E21" s="87">
        <f>VLOOKUP(D21,'[1]PD x Días Mora'!$A$4:$D$11,4,1)</f>
        <v>0.02</v>
      </c>
      <c r="F21" s="87">
        <v>0.4</v>
      </c>
      <c r="G21" s="86">
        <f t="shared" ref="G21:G29" si="0">C21</f>
        <v>80000</v>
      </c>
      <c r="H21" s="86">
        <f t="shared" ref="H21:H29" si="1">E21*G21*F21</f>
        <v>640</v>
      </c>
    </row>
    <row r="22" spans="1:8" x14ac:dyDescent="0.25">
      <c r="A22" s="88" t="s">
        <v>210</v>
      </c>
      <c r="B22" s="86">
        <v>4000000</v>
      </c>
      <c r="C22" s="86">
        <v>3500000</v>
      </c>
      <c r="D22" s="88">
        <v>10</v>
      </c>
      <c r="E22" s="87">
        <f>VLOOKUP(D22,'[1]PD x Días Mora'!$A$4:$D$11,4,1)</f>
        <v>0.03</v>
      </c>
      <c r="F22" s="87">
        <v>0.4</v>
      </c>
      <c r="G22" s="86">
        <f t="shared" si="0"/>
        <v>3500000</v>
      </c>
      <c r="H22" s="86">
        <f t="shared" si="1"/>
        <v>42000</v>
      </c>
    </row>
    <row r="23" spans="1:8" x14ac:dyDescent="0.25">
      <c r="A23" s="88" t="s">
        <v>209</v>
      </c>
      <c r="B23" s="86">
        <v>150000</v>
      </c>
      <c r="C23" s="86">
        <v>120000</v>
      </c>
      <c r="D23" s="88">
        <v>25</v>
      </c>
      <c r="E23" s="87">
        <f>VLOOKUP(D23,'[1]PD x Días Mora'!$A$4:$D$11,4,1)</f>
        <v>0.1</v>
      </c>
      <c r="F23" s="87">
        <v>0.4</v>
      </c>
      <c r="G23" s="86">
        <f t="shared" si="0"/>
        <v>120000</v>
      </c>
      <c r="H23" s="86">
        <f t="shared" si="1"/>
        <v>4800</v>
      </c>
    </row>
    <row r="24" spans="1:8" x14ac:dyDescent="0.25">
      <c r="A24" s="88" t="s">
        <v>208</v>
      </c>
      <c r="B24" s="86">
        <v>500000</v>
      </c>
      <c r="C24" s="86">
        <v>350000</v>
      </c>
      <c r="D24" s="88">
        <v>15</v>
      </c>
      <c r="E24" s="87">
        <f>VLOOKUP(D24,'[1]PD x Días Mora'!$A$4:$D$11,4,1)</f>
        <v>0.05</v>
      </c>
      <c r="F24" s="87">
        <v>0.4</v>
      </c>
      <c r="G24" s="86">
        <f t="shared" si="0"/>
        <v>350000</v>
      </c>
      <c r="H24" s="86">
        <f t="shared" si="1"/>
        <v>7000</v>
      </c>
    </row>
    <row r="25" spans="1:8" x14ac:dyDescent="0.25">
      <c r="A25" s="88" t="s">
        <v>207</v>
      </c>
      <c r="B25" s="86">
        <v>700000</v>
      </c>
      <c r="C25" s="86">
        <v>500000</v>
      </c>
      <c r="D25" s="88">
        <v>20</v>
      </c>
      <c r="E25" s="87">
        <f>VLOOKUP(D25,'[1]PD x Días Mora'!$A$4:$D$11,4,1)</f>
        <v>7.0000000000000007E-2</v>
      </c>
      <c r="F25" s="87">
        <v>0.4</v>
      </c>
      <c r="G25" s="86">
        <f t="shared" si="0"/>
        <v>500000</v>
      </c>
      <c r="H25" s="86">
        <f t="shared" si="1"/>
        <v>14000</v>
      </c>
    </row>
    <row r="26" spans="1:8" x14ac:dyDescent="0.25">
      <c r="A26" s="88" t="s">
        <v>206</v>
      </c>
      <c r="B26" s="86">
        <v>1000000</v>
      </c>
      <c r="C26" s="86">
        <v>800000</v>
      </c>
      <c r="D26" s="88">
        <v>5</v>
      </c>
      <c r="E26" s="87">
        <f>VLOOKUP(D26,'[1]PD x Días Mora'!$A$4:$D$11,4,1)</f>
        <v>0.02</v>
      </c>
      <c r="F26" s="87">
        <v>0.4</v>
      </c>
      <c r="G26" s="86">
        <f t="shared" si="0"/>
        <v>800000</v>
      </c>
      <c r="H26" s="86">
        <f t="shared" si="1"/>
        <v>6400</v>
      </c>
    </row>
    <row r="27" spans="1:8" x14ac:dyDescent="0.25">
      <c r="A27" s="88" t="s">
        <v>205</v>
      </c>
      <c r="B27" s="86">
        <v>3000000</v>
      </c>
      <c r="C27" s="86">
        <v>2000000</v>
      </c>
      <c r="D27" s="88">
        <v>30</v>
      </c>
      <c r="E27" s="87">
        <f>VLOOKUP(D27,'[1]PD x Días Mora'!$A$4:$D$11,4,1)</f>
        <v>0.1</v>
      </c>
      <c r="F27" s="87">
        <v>0.4</v>
      </c>
      <c r="G27" s="86">
        <f t="shared" si="0"/>
        <v>2000000</v>
      </c>
      <c r="H27" s="86">
        <f t="shared" si="1"/>
        <v>80000</v>
      </c>
    </row>
    <row r="28" spans="1:8" x14ac:dyDescent="0.25">
      <c r="A28" s="88" t="s">
        <v>204</v>
      </c>
      <c r="B28" s="86">
        <v>5000000</v>
      </c>
      <c r="C28" s="86">
        <v>2800000</v>
      </c>
      <c r="D28" s="88">
        <v>12</v>
      </c>
      <c r="E28" s="87">
        <f>VLOOKUP(D28,'[1]PD x Días Mora'!$A$4:$D$11,4,1)</f>
        <v>0.05</v>
      </c>
      <c r="F28" s="87">
        <v>0.4</v>
      </c>
      <c r="G28" s="86">
        <f t="shared" si="0"/>
        <v>2800000</v>
      </c>
      <c r="H28" s="86">
        <f t="shared" si="1"/>
        <v>56000</v>
      </c>
    </row>
    <row r="29" spans="1:8" x14ac:dyDescent="0.25">
      <c r="A29" s="88" t="s">
        <v>203</v>
      </c>
      <c r="B29" s="86">
        <v>5000000</v>
      </c>
      <c r="C29" s="86">
        <v>5000000</v>
      </c>
      <c r="D29" s="88">
        <v>28</v>
      </c>
      <c r="E29" s="87">
        <f>VLOOKUP(D29,'[1]PD x Días Mora'!$A$4:$D$11,4,1)</f>
        <v>0.1</v>
      </c>
      <c r="F29" s="87">
        <v>0.4</v>
      </c>
      <c r="G29" s="86">
        <f t="shared" si="0"/>
        <v>5000000</v>
      </c>
      <c r="H29" s="86">
        <f t="shared" si="1"/>
        <v>200000</v>
      </c>
    </row>
    <row r="31" spans="1:8" x14ac:dyDescent="0.25">
      <c r="A31" s="85"/>
    </row>
  </sheetData>
  <mergeCells count="3">
    <mergeCell ref="A1:J1"/>
    <mergeCell ref="A16:J16"/>
    <mergeCell ref="A14:B14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zoomScale="80" zoomScaleNormal="80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F27" sqref="F27"/>
    </sheetView>
  </sheetViews>
  <sheetFormatPr baseColWidth="10" defaultColWidth="11.42578125" defaultRowHeight="15" zeroHeight="1" x14ac:dyDescent="0.25"/>
  <cols>
    <col min="1" max="1" width="34.7109375" customWidth="1"/>
    <col min="2" max="2" width="28" style="1" customWidth="1"/>
    <col min="3" max="3" width="39.140625" customWidth="1"/>
    <col min="4" max="4" width="53.5703125" customWidth="1"/>
    <col min="5" max="5" width="11.42578125" customWidth="1"/>
    <col min="7" max="7" width="42.28515625" customWidth="1"/>
    <col min="8" max="8" width="42.140625" customWidth="1"/>
    <col min="9" max="9" width="12.140625" customWidth="1"/>
  </cols>
  <sheetData>
    <row r="1" spans="1:8" ht="21" x14ac:dyDescent="0.35">
      <c r="A1" s="100" t="s">
        <v>186</v>
      </c>
      <c r="B1" s="100"/>
      <c r="C1" s="100"/>
      <c r="D1" s="100"/>
      <c r="F1" s="100" t="s">
        <v>187</v>
      </c>
      <c r="G1" s="100"/>
      <c r="H1" s="100"/>
    </row>
    <row r="2" spans="1:8" x14ac:dyDescent="0.25">
      <c r="A2" s="110" t="s">
        <v>2</v>
      </c>
      <c r="B2" s="110"/>
      <c r="C2" s="110"/>
      <c r="D2" s="110"/>
      <c r="F2" t="s">
        <v>189</v>
      </c>
    </row>
    <row r="3" spans="1:8" x14ac:dyDescent="0.25"/>
    <row r="4" spans="1:8" x14ac:dyDescent="0.25">
      <c r="A4" s="2" t="s">
        <v>41</v>
      </c>
      <c r="B4" s="2" t="s">
        <v>4</v>
      </c>
      <c r="C4" s="2" t="s">
        <v>3</v>
      </c>
      <c r="D4" s="2" t="s">
        <v>7</v>
      </c>
      <c r="F4" s="84" t="s">
        <v>188</v>
      </c>
      <c r="G4" s="84" t="s">
        <v>191</v>
      </c>
      <c r="H4" s="84" t="s">
        <v>7</v>
      </c>
    </row>
    <row r="5" spans="1:8" ht="30" x14ac:dyDescent="0.25">
      <c r="A5" s="3" t="s">
        <v>42</v>
      </c>
      <c r="B5" s="4" t="s">
        <v>5</v>
      </c>
      <c r="C5" s="3" t="s">
        <v>6</v>
      </c>
      <c r="D5" s="5" t="s">
        <v>8</v>
      </c>
      <c r="F5" s="111">
        <v>1</v>
      </c>
      <c r="G5" s="111" t="s">
        <v>190</v>
      </c>
      <c r="H5" s="33" t="s">
        <v>192</v>
      </c>
    </row>
    <row r="6" spans="1:8" ht="30" x14ac:dyDescent="0.25">
      <c r="A6" s="3" t="s">
        <v>42</v>
      </c>
      <c r="B6" s="4" t="s">
        <v>5</v>
      </c>
      <c r="C6" s="3" t="s">
        <v>6</v>
      </c>
      <c r="D6" s="5" t="s">
        <v>9</v>
      </c>
      <c r="F6" s="112"/>
      <c r="G6" s="112"/>
      <c r="H6" s="70" t="s">
        <v>193</v>
      </c>
    </row>
    <row r="7" spans="1:8" ht="30" x14ac:dyDescent="0.25">
      <c r="A7" s="3" t="s">
        <v>42</v>
      </c>
      <c r="B7" s="4" t="s">
        <v>5</v>
      </c>
      <c r="C7" s="3" t="s">
        <v>6</v>
      </c>
      <c r="D7" s="5" t="s">
        <v>10</v>
      </c>
      <c r="F7" s="113"/>
      <c r="G7" s="113"/>
      <c r="H7" s="70" t="s">
        <v>194</v>
      </c>
    </row>
    <row r="8" spans="1:8" ht="30" x14ac:dyDescent="0.25">
      <c r="A8" s="3" t="s">
        <v>42</v>
      </c>
      <c r="B8" s="4" t="s">
        <v>5</v>
      </c>
      <c r="C8" s="3" t="s">
        <v>6</v>
      </c>
      <c r="D8" s="5" t="s">
        <v>11</v>
      </c>
      <c r="F8" s="111">
        <v>2</v>
      </c>
      <c r="G8" s="114" t="s">
        <v>195</v>
      </c>
      <c r="H8" s="70" t="s">
        <v>196</v>
      </c>
    </row>
    <row r="9" spans="1:8" ht="30" x14ac:dyDescent="0.25">
      <c r="A9" s="3" t="s">
        <v>42</v>
      </c>
      <c r="B9" s="4" t="s">
        <v>5</v>
      </c>
      <c r="C9" s="3" t="s">
        <v>6</v>
      </c>
      <c r="D9" s="5" t="s">
        <v>12</v>
      </c>
      <c r="F9" s="112"/>
      <c r="G9" s="115"/>
      <c r="H9" s="70" t="s">
        <v>197</v>
      </c>
    </row>
    <row r="10" spans="1:8" ht="30" x14ac:dyDescent="0.25">
      <c r="A10" s="3" t="s">
        <v>42</v>
      </c>
      <c r="B10" s="4" t="s">
        <v>13</v>
      </c>
      <c r="C10" s="3" t="s">
        <v>14</v>
      </c>
      <c r="D10" s="3" t="s">
        <v>15</v>
      </c>
      <c r="F10" s="113"/>
      <c r="G10" s="116"/>
      <c r="H10" s="70" t="s">
        <v>198</v>
      </c>
    </row>
    <row r="11" spans="1:8" ht="45" x14ac:dyDescent="0.25">
      <c r="A11" s="3" t="s">
        <v>42</v>
      </c>
      <c r="B11" s="4" t="s">
        <v>13</v>
      </c>
      <c r="C11" s="3" t="s">
        <v>14</v>
      </c>
      <c r="D11" s="3" t="s">
        <v>16</v>
      </c>
      <c r="F11" s="33">
        <v>3</v>
      </c>
      <c r="G11" s="33" t="s">
        <v>199</v>
      </c>
      <c r="H11" s="70" t="s">
        <v>200</v>
      </c>
    </row>
    <row r="12" spans="1:8" ht="30" x14ac:dyDescent="0.25">
      <c r="A12" s="3" t="s">
        <v>42</v>
      </c>
      <c r="B12" s="4" t="s">
        <v>13</v>
      </c>
      <c r="C12" s="3" t="s">
        <v>14</v>
      </c>
      <c r="D12" s="3" t="s">
        <v>17</v>
      </c>
      <c r="F12" s="33">
        <v>4</v>
      </c>
      <c r="G12" s="33" t="s">
        <v>201</v>
      </c>
      <c r="H12" s="70" t="s">
        <v>202</v>
      </c>
    </row>
    <row r="13" spans="1:8" ht="30" x14ac:dyDescent="0.25">
      <c r="A13" s="3" t="s">
        <v>42</v>
      </c>
      <c r="B13" s="4" t="s">
        <v>13</v>
      </c>
      <c r="C13" s="3" t="s">
        <v>14</v>
      </c>
      <c r="D13" s="3" t="s">
        <v>18</v>
      </c>
    </row>
    <row r="14" spans="1:8" ht="30" x14ac:dyDescent="0.25">
      <c r="A14" s="3" t="s">
        <v>42</v>
      </c>
      <c r="B14" s="4" t="s">
        <v>19</v>
      </c>
      <c r="C14" s="3" t="s">
        <v>20</v>
      </c>
      <c r="D14" s="3" t="s">
        <v>21</v>
      </c>
    </row>
    <row r="15" spans="1:8" ht="30" x14ac:dyDescent="0.25">
      <c r="A15" s="3" t="s">
        <v>42</v>
      </c>
      <c r="B15" s="4" t="s">
        <v>19</v>
      </c>
      <c r="C15" s="3" t="s">
        <v>20</v>
      </c>
      <c r="D15" s="3" t="s">
        <v>22</v>
      </c>
    </row>
    <row r="16" spans="1:8" ht="44.25" customHeight="1" x14ac:dyDescent="0.25">
      <c r="A16" s="3" t="s">
        <v>42</v>
      </c>
      <c r="B16" s="4" t="s">
        <v>19</v>
      </c>
      <c r="C16" s="3" t="s">
        <v>20</v>
      </c>
      <c r="D16" s="3" t="s">
        <v>23</v>
      </c>
    </row>
    <row r="17" spans="1:4" ht="30" x14ac:dyDescent="0.25">
      <c r="A17" s="3" t="s">
        <v>42</v>
      </c>
      <c r="B17" s="4" t="s">
        <v>19</v>
      </c>
      <c r="C17" s="3" t="s">
        <v>20</v>
      </c>
      <c r="D17" s="3" t="s">
        <v>24</v>
      </c>
    </row>
    <row r="18" spans="1:4" ht="30" x14ac:dyDescent="0.25">
      <c r="A18" s="3" t="s">
        <v>42</v>
      </c>
      <c r="B18" s="4" t="s">
        <v>19</v>
      </c>
      <c r="C18" s="3" t="s">
        <v>20</v>
      </c>
      <c r="D18" s="3" t="s">
        <v>25</v>
      </c>
    </row>
    <row r="19" spans="1:4" ht="45" x14ac:dyDescent="0.25">
      <c r="A19" s="3" t="s">
        <v>42</v>
      </c>
      <c r="B19" s="4" t="s">
        <v>26</v>
      </c>
      <c r="C19" s="3" t="s">
        <v>27</v>
      </c>
      <c r="D19" s="3" t="s">
        <v>28</v>
      </c>
    </row>
    <row r="20" spans="1:4" ht="30" x14ac:dyDescent="0.25">
      <c r="A20" s="3" t="s">
        <v>42</v>
      </c>
      <c r="B20" s="4" t="s">
        <v>26</v>
      </c>
      <c r="C20" s="3" t="s">
        <v>27</v>
      </c>
      <c r="D20" s="3" t="s">
        <v>29</v>
      </c>
    </row>
    <row r="21" spans="1:4" ht="30" x14ac:dyDescent="0.25">
      <c r="A21" s="3" t="s">
        <v>42</v>
      </c>
      <c r="B21" s="4" t="s">
        <v>26</v>
      </c>
      <c r="C21" s="3" t="s">
        <v>27</v>
      </c>
      <c r="D21" s="3" t="s">
        <v>30</v>
      </c>
    </row>
    <row r="22" spans="1:4" ht="30" x14ac:dyDescent="0.25">
      <c r="A22" s="3" t="s">
        <v>42</v>
      </c>
      <c r="B22" s="4" t="s">
        <v>31</v>
      </c>
      <c r="C22" s="3" t="s">
        <v>32</v>
      </c>
      <c r="D22" s="3" t="s">
        <v>33</v>
      </c>
    </row>
    <row r="23" spans="1:4" ht="30" x14ac:dyDescent="0.25">
      <c r="A23" s="3" t="s">
        <v>42</v>
      </c>
      <c r="B23" s="4" t="s">
        <v>31</v>
      </c>
      <c r="C23" s="3" t="s">
        <v>32</v>
      </c>
      <c r="D23" s="3" t="s">
        <v>34</v>
      </c>
    </row>
    <row r="24" spans="1:4" ht="30" x14ac:dyDescent="0.25">
      <c r="A24" s="3" t="s">
        <v>42</v>
      </c>
      <c r="B24" s="4" t="s">
        <v>31</v>
      </c>
      <c r="C24" s="3" t="s">
        <v>32</v>
      </c>
      <c r="D24" s="3" t="s">
        <v>35</v>
      </c>
    </row>
    <row r="25" spans="1:4" ht="30" x14ac:dyDescent="0.25">
      <c r="A25" s="3" t="s">
        <v>42</v>
      </c>
      <c r="B25" s="4" t="s">
        <v>31</v>
      </c>
      <c r="C25" s="3" t="s">
        <v>32</v>
      </c>
      <c r="D25" s="3" t="s">
        <v>36</v>
      </c>
    </row>
    <row r="26" spans="1:4" ht="30" x14ac:dyDescent="0.25">
      <c r="A26" s="3" t="s">
        <v>42</v>
      </c>
      <c r="B26" s="4" t="s">
        <v>37</v>
      </c>
      <c r="C26" s="3" t="s">
        <v>38</v>
      </c>
      <c r="D26" s="3" t="s">
        <v>39</v>
      </c>
    </row>
    <row r="27" spans="1:4" ht="30" x14ac:dyDescent="0.25">
      <c r="A27" s="3" t="s">
        <v>42</v>
      </c>
      <c r="B27" s="4" t="s">
        <v>37</v>
      </c>
      <c r="C27" s="3" t="s">
        <v>38</v>
      </c>
      <c r="D27" s="3" t="s">
        <v>40</v>
      </c>
    </row>
    <row r="28" spans="1:4" x14ac:dyDescent="0.25"/>
    <row r="29" spans="1:4" x14ac:dyDescent="0.25"/>
    <row r="30" spans="1:4" x14ac:dyDescent="0.25"/>
  </sheetData>
  <mergeCells count="7">
    <mergeCell ref="A1:D1"/>
    <mergeCell ref="A2:D2"/>
    <mergeCell ref="G5:G7"/>
    <mergeCell ref="F5:F7"/>
    <mergeCell ref="G8:G10"/>
    <mergeCell ref="F8:F10"/>
    <mergeCell ref="F1:H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P28"/>
  <sheetViews>
    <sheetView showGridLines="0" zoomScale="80" zoomScaleNormal="80" workbookViewId="0">
      <selection activeCell="O10" sqref="O10"/>
    </sheetView>
  </sheetViews>
  <sheetFormatPr baseColWidth="10" defaultRowHeight="15" x14ac:dyDescent="0.25"/>
  <cols>
    <col min="1" max="1" width="24" customWidth="1"/>
    <col min="2" max="2" width="14.28515625" bestFit="1" customWidth="1"/>
    <col min="3" max="3" width="13.85546875" customWidth="1"/>
    <col min="4" max="4" width="14.85546875" customWidth="1"/>
    <col min="5" max="5" width="21.7109375" customWidth="1"/>
    <col min="6" max="6" width="13.85546875" customWidth="1"/>
    <col min="7" max="7" width="14.140625" customWidth="1"/>
    <col min="8" max="8" width="19.42578125" bestFit="1" customWidth="1"/>
    <col min="9" max="9" width="16.5703125" bestFit="1" customWidth="1"/>
    <col min="11" max="11" width="13.28515625" customWidth="1"/>
    <col min="12" max="12" width="17.7109375" customWidth="1"/>
    <col min="14" max="14" width="17.5703125" customWidth="1"/>
    <col min="15" max="15" width="12.140625" bestFit="1" customWidth="1"/>
    <col min="16" max="16" width="13.85546875" bestFit="1" customWidth="1"/>
  </cols>
  <sheetData>
    <row r="2" spans="1:16" ht="15.75" thickBot="1" x14ac:dyDescent="0.3"/>
    <row r="3" spans="1:16" ht="15.75" thickBot="1" x14ac:dyDescent="0.3">
      <c r="A3" s="35" t="s">
        <v>60</v>
      </c>
      <c r="C3" s="29" t="s">
        <v>97</v>
      </c>
      <c r="D3" s="30" t="s">
        <v>102</v>
      </c>
      <c r="E3" s="31" t="s">
        <v>103</v>
      </c>
      <c r="H3" s="36" t="s">
        <v>97</v>
      </c>
      <c r="I3" s="37" t="s">
        <v>102</v>
      </c>
      <c r="J3" s="38" t="s">
        <v>103</v>
      </c>
    </row>
    <row r="4" spans="1:16" x14ac:dyDescent="0.25">
      <c r="A4" s="12" t="s">
        <v>69</v>
      </c>
      <c r="C4" s="121" t="s">
        <v>98</v>
      </c>
      <c r="D4" s="32" t="s">
        <v>101</v>
      </c>
      <c r="E4" s="33">
        <v>100</v>
      </c>
      <c r="F4" s="120" t="s">
        <v>104</v>
      </c>
      <c r="H4" s="122" t="s">
        <v>99</v>
      </c>
      <c r="I4" s="39" t="s">
        <v>110</v>
      </c>
      <c r="J4" s="40">
        <v>100</v>
      </c>
      <c r="K4" s="117" t="s">
        <v>111</v>
      </c>
      <c r="M4" s="77">
        <v>0.01</v>
      </c>
      <c r="N4" s="77">
        <v>0.59</v>
      </c>
      <c r="O4" s="76" t="s">
        <v>169</v>
      </c>
      <c r="P4" s="76" t="s">
        <v>170</v>
      </c>
    </row>
    <row r="5" spans="1:16" ht="15" customHeight="1" x14ac:dyDescent="0.25">
      <c r="A5" s="12" t="s">
        <v>70</v>
      </c>
      <c r="C5" s="121"/>
      <c r="D5" s="32" t="s">
        <v>105</v>
      </c>
      <c r="E5" s="33">
        <v>100</v>
      </c>
      <c r="F5" s="120"/>
      <c r="H5" s="123"/>
      <c r="I5" s="41" t="s">
        <v>112</v>
      </c>
      <c r="J5" s="4">
        <v>90</v>
      </c>
      <c r="K5" s="118"/>
      <c r="M5" s="77">
        <v>0.6</v>
      </c>
      <c r="N5" s="77">
        <v>1</v>
      </c>
      <c r="O5" s="76" t="s">
        <v>171</v>
      </c>
      <c r="P5" s="76" t="s">
        <v>172</v>
      </c>
    </row>
    <row r="6" spans="1:16" ht="15.75" thickBot="1" x14ac:dyDescent="0.3">
      <c r="C6" s="121"/>
      <c r="D6" s="32" t="s">
        <v>106</v>
      </c>
      <c r="E6" s="33">
        <v>100</v>
      </c>
      <c r="F6" s="120"/>
      <c r="H6" s="124"/>
      <c r="I6" s="42" t="s">
        <v>113</v>
      </c>
      <c r="J6" s="43">
        <v>80</v>
      </c>
      <c r="K6" s="119"/>
    </row>
    <row r="7" spans="1:16" x14ac:dyDescent="0.25">
      <c r="C7" s="121"/>
      <c r="D7" s="34" t="s">
        <v>107</v>
      </c>
      <c r="E7" s="33">
        <v>100</v>
      </c>
      <c r="F7" s="120"/>
    </row>
    <row r="8" spans="1:16" x14ac:dyDescent="0.25">
      <c r="C8" s="121"/>
      <c r="D8" s="34" t="s">
        <v>108</v>
      </c>
      <c r="E8" s="33">
        <v>100</v>
      </c>
      <c r="F8" s="120"/>
    </row>
    <row r="9" spans="1:16" x14ac:dyDescent="0.25">
      <c r="C9" s="121"/>
      <c r="D9" s="34" t="s">
        <v>109</v>
      </c>
      <c r="E9" s="33">
        <v>100</v>
      </c>
      <c r="F9" s="120"/>
    </row>
    <row r="11" spans="1:16" ht="15.75" thickBot="1" x14ac:dyDescent="0.3"/>
    <row r="12" spans="1:16" x14ac:dyDescent="0.25">
      <c r="A12" s="29" t="s">
        <v>97</v>
      </c>
      <c r="B12" s="30" t="s">
        <v>102</v>
      </c>
      <c r="C12" s="51" t="s">
        <v>119</v>
      </c>
      <c r="D12" s="51" t="s">
        <v>5</v>
      </c>
      <c r="E12" s="31" t="s">
        <v>118</v>
      </c>
      <c r="F12" s="31" t="s">
        <v>103</v>
      </c>
      <c r="H12" s="54" t="s">
        <v>97</v>
      </c>
      <c r="I12" s="54" t="s">
        <v>102</v>
      </c>
      <c r="J12" s="55" t="s">
        <v>119</v>
      </c>
      <c r="K12" s="55" t="s">
        <v>5</v>
      </c>
      <c r="L12" s="54" t="s">
        <v>137</v>
      </c>
      <c r="M12" s="54" t="s">
        <v>103</v>
      </c>
      <c r="N12" s="12"/>
    </row>
    <row r="13" spans="1:16" ht="30" customHeight="1" x14ac:dyDescent="0.25">
      <c r="A13" s="121" t="s">
        <v>117</v>
      </c>
      <c r="B13" s="126" t="s">
        <v>115</v>
      </c>
      <c r="C13" s="49">
        <v>0.01</v>
      </c>
      <c r="D13" s="49">
        <v>0.1</v>
      </c>
      <c r="E13" s="49" t="s">
        <v>120</v>
      </c>
      <c r="F13" s="33">
        <v>0</v>
      </c>
      <c r="G13" s="127"/>
      <c r="H13" s="121" t="s">
        <v>132</v>
      </c>
      <c r="I13" s="32" t="s">
        <v>128</v>
      </c>
      <c r="J13" s="56">
        <v>0</v>
      </c>
      <c r="K13" s="56">
        <v>1</v>
      </c>
      <c r="L13" s="33" t="s">
        <v>134</v>
      </c>
      <c r="M13" s="33">
        <v>30</v>
      </c>
      <c r="N13" s="125" t="s">
        <v>129</v>
      </c>
    </row>
    <row r="14" spans="1:16" x14ac:dyDescent="0.25">
      <c r="A14" s="121"/>
      <c r="B14" s="126"/>
      <c r="C14" s="49">
        <v>0.11</v>
      </c>
      <c r="D14" s="49">
        <v>0.2</v>
      </c>
      <c r="E14" s="49" t="s">
        <v>121</v>
      </c>
      <c r="F14" s="33">
        <v>50</v>
      </c>
      <c r="G14" s="128"/>
      <c r="H14" s="121"/>
      <c r="I14" s="32" t="s">
        <v>127</v>
      </c>
      <c r="J14" s="57">
        <f>110%/100</f>
        <v>1.1000000000000001E-2</v>
      </c>
      <c r="K14" s="57">
        <f>(150%)/100</f>
        <v>1.4999999999999999E-2</v>
      </c>
      <c r="L14" s="33" t="s">
        <v>135</v>
      </c>
      <c r="M14" s="33">
        <v>70</v>
      </c>
      <c r="N14" s="125"/>
    </row>
    <row r="15" spans="1:16" x14ac:dyDescent="0.25">
      <c r="A15" s="121"/>
      <c r="B15" s="126"/>
      <c r="C15" s="49">
        <v>0.21</v>
      </c>
      <c r="D15" s="49">
        <v>0.3</v>
      </c>
      <c r="E15" s="49" t="s">
        <v>122</v>
      </c>
      <c r="F15" s="33">
        <v>50</v>
      </c>
      <c r="G15" s="128"/>
      <c r="H15" s="121"/>
      <c r="I15" s="34" t="s">
        <v>131</v>
      </c>
      <c r="J15" s="57">
        <f>(151%)/100</f>
        <v>1.5100000000000001E-2</v>
      </c>
      <c r="K15" s="57">
        <f>(250%)/100</f>
        <v>2.5000000000000001E-2</v>
      </c>
      <c r="L15" s="33" t="s">
        <v>136</v>
      </c>
      <c r="M15" s="23">
        <v>100</v>
      </c>
      <c r="N15" s="125"/>
    </row>
    <row r="16" spans="1:16" x14ac:dyDescent="0.25">
      <c r="A16" s="121"/>
      <c r="B16" s="126"/>
      <c r="C16" s="49">
        <v>0.31</v>
      </c>
      <c r="D16" s="49">
        <v>0.4</v>
      </c>
      <c r="E16" s="49" t="s">
        <v>123</v>
      </c>
      <c r="F16" s="33">
        <v>80</v>
      </c>
      <c r="G16" s="128"/>
    </row>
    <row r="17" spans="1:14" x14ac:dyDescent="0.25">
      <c r="A17" s="121"/>
      <c r="B17" s="126"/>
      <c r="C17" s="49">
        <v>0.41</v>
      </c>
      <c r="D17" s="49">
        <v>0.5</v>
      </c>
      <c r="E17" s="49" t="s">
        <v>124</v>
      </c>
      <c r="F17" s="33">
        <v>90</v>
      </c>
      <c r="G17" s="128"/>
    </row>
    <row r="18" spans="1:14" x14ac:dyDescent="0.25">
      <c r="A18" s="121"/>
      <c r="B18" s="126"/>
      <c r="C18" s="49">
        <v>0.51</v>
      </c>
      <c r="D18" s="49"/>
      <c r="E18" s="49" t="s">
        <v>125</v>
      </c>
      <c r="F18" s="33">
        <v>100</v>
      </c>
      <c r="G18" s="128"/>
      <c r="H18" s="54" t="s">
        <v>97</v>
      </c>
      <c r="I18" s="54" t="s">
        <v>102</v>
      </c>
      <c r="J18" s="55" t="s">
        <v>119</v>
      </c>
      <c r="K18" s="55" t="s">
        <v>5</v>
      </c>
      <c r="L18" s="54" t="s">
        <v>130</v>
      </c>
      <c r="M18" s="54" t="s">
        <v>103</v>
      </c>
      <c r="N18" s="12"/>
    </row>
    <row r="19" spans="1:14" ht="30" customHeight="1" x14ac:dyDescent="0.25">
      <c r="A19" s="121"/>
      <c r="B19" s="126" t="s">
        <v>116</v>
      </c>
      <c r="C19" s="49">
        <v>0.01</v>
      </c>
      <c r="D19" s="49">
        <v>0.1</v>
      </c>
      <c r="E19" s="49" t="s">
        <v>120</v>
      </c>
      <c r="F19" s="50">
        <v>50</v>
      </c>
      <c r="G19" s="128"/>
      <c r="H19" s="121" t="s">
        <v>133</v>
      </c>
      <c r="I19" s="32" t="s">
        <v>128</v>
      </c>
      <c r="J19" s="56">
        <v>0</v>
      </c>
      <c r="K19" s="57">
        <v>8.9999999999999998E-4</v>
      </c>
      <c r="L19" s="33" t="s">
        <v>141</v>
      </c>
      <c r="M19" s="23">
        <v>30</v>
      </c>
      <c r="N19" s="59" t="s">
        <v>129</v>
      </c>
    </row>
    <row r="20" spans="1:14" x14ac:dyDescent="0.25">
      <c r="A20" s="121"/>
      <c r="B20" s="126"/>
      <c r="C20" s="49">
        <v>0.11</v>
      </c>
      <c r="D20" s="49">
        <v>0.2</v>
      </c>
      <c r="E20" s="49" t="s">
        <v>121</v>
      </c>
      <c r="F20" s="50">
        <v>50</v>
      </c>
      <c r="G20" s="128"/>
      <c r="H20" s="121"/>
      <c r="I20" s="12" t="s">
        <v>138</v>
      </c>
      <c r="J20" s="56">
        <v>0.1</v>
      </c>
      <c r="K20" s="56">
        <v>0.15</v>
      </c>
      <c r="L20" s="33" t="s">
        <v>142</v>
      </c>
      <c r="M20" s="33">
        <v>70</v>
      </c>
      <c r="N20" s="59"/>
    </row>
    <row r="21" spans="1:14" x14ac:dyDescent="0.25">
      <c r="A21" s="121"/>
      <c r="B21" s="126"/>
      <c r="C21" s="49">
        <v>0.21</v>
      </c>
      <c r="D21" s="49">
        <v>0.3</v>
      </c>
      <c r="E21" s="49" t="s">
        <v>122</v>
      </c>
      <c r="F21" s="50">
        <v>70</v>
      </c>
      <c r="G21" s="128"/>
      <c r="H21" s="121"/>
      <c r="I21" s="32" t="s">
        <v>139</v>
      </c>
      <c r="J21" s="58">
        <v>0.16</v>
      </c>
      <c r="K21" s="58">
        <v>0.2</v>
      </c>
      <c r="L21" s="33" t="s">
        <v>143</v>
      </c>
      <c r="M21" s="33">
        <v>90</v>
      </c>
      <c r="N21" s="59"/>
    </row>
    <row r="22" spans="1:14" x14ac:dyDescent="0.25">
      <c r="A22" s="121"/>
      <c r="B22" s="126"/>
      <c r="C22" s="49">
        <v>0.31</v>
      </c>
      <c r="D22" s="49">
        <v>0.4</v>
      </c>
      <c r="E22" s="49" t="s">
        <v>123</v>
      </c>
      <c r="F22" s="50">
        <v>80</v>
      </c>
      <c r="G22" s="128"/>
      <c r="H22" s="121"/>
      <c r="I22" s="34" t="s">
        <v>140</v>
      </c>
      <c r="J22" s="58">
        <v>0.21</v>
      </c>
      <c r="K22" s="57"/>
      <c r="L22" s="33" t="s">
        <v>144</v>
      </c>
      <c r="M22" s="23">
        <v>100</v>
      </c>
      <c r="N22" s="12"/>
    </row>
    <row r="23" spans="1:14" x14ac:dyDescent="0.25">
      <c r="A23" s="121"/>
      <c r="B23" s="126"/>
      <c r="C23" s="49">
        <v>0.41</v>
      </c>
      <c r="D23" s="49">
        <v>0.5</v>
      </c>
      <c r="E23" s="49" t="s">
        <v>124</v>
      </c>
      <c r="F23" s="50">
        <v>100</v>
      </c>
      <c r="G23" s="128"/>
    </row>
    <row r="24" spans="1:14" x14ac:dyDescent="0.25">
      <c r="A24" s="121"/>
      <c r="B24" s="126"/>
      <c r="C24" s="49">
        <v>0.51</v>
      </c>
      <c r="D24" s="49"/>
      <c r="E24" s="49" t="s">
        <v>125</v>
      </c>
      <c r="F24" s="50">
        <v>100</v>
      </c>
      <c r="G24" s="128"/>
    </row>
    <row r="25" spans="1:14" x14ac:dyDescent="0.25">
      <c r="H25" s="54" t="s">
        <v>97</v>
      </c>
      <c r="I25" s="54" t="s">
        <v>102</v>
      </c>
      <c r="J25" s="55" t="s">
        <v>119</v>
      </c>
      <c r="K25" s="55" t="s">
        <v>5</v>
      </c>
      <c r="L25" s="54" t="s">
        <v>137</v>
      </c>
      <c r="M25" s="54" t="s">
        <v>103</v>
      </c>
    </row>
    <row r="26" spans="1:14" x14ac:dyDescent="0.25">
      <c r="H26" s="121" t="s">
        <v>153</v>
      </c>
      <c r="I26" s="32" t="s">
        <v>128</v>
      </c>
      <c r="J26" s="63">
        <v>0</v>
      </c>
      <c r="K26" s="63">
        <v>600</v>
      </c>
      <c r="L26" s="33" t="s">
        <v>154</v>
      </c>
      <c r="M26" s="33">
        <v>40</v>
      </c>
    </row>
    <row r="27" spans="1:14" x14ac:dyDescent="0.25">
      <c r="H27" s="121"/>
      <c r="I27" s="32" t="s">
        <v>127</v>
      </c>
      <c r="J27" s="63">
        <v>601</v>
      </c>
      <c r="K27" s="63">
        <v>700</v>
      </c>
      <c r="L27" s="33" t="s">
        <v>155</v>
      </c>
      <c r="M27" s="33">
        <v>90</v>
      </c>
    </row>
    <row r="28" spans="1:14" x14ac:dyDescent="0.25">
      <c r="H28" s="121"/>
      <c r="I28" s="34" t="s">
        <v>131</v>
      </c>
      <c r="J28" s="63">
        <v>701</v>
      </c>
      <c r="K28" s="63"/>
      <c r="L28" s="33" t="s">
        <v>156</v>
      </c>
      <c r="M28" s="23">
        <v>100</v>
      </c>
    </row>
  </sheetData>
  <mergeCells count="12">
    <mergeCell ref="N13:N15"/>
    <mergeCell ref="H19:H22"/>
    <mergeCell ref="H26:H28"/>
    <mergeCell ref="B13:B18"/>
    <mergeCell ref="A13:A24"/>
    <mergeCell ref="B19:B24"/>
    <mergeCell ref="G13:G24"/>
    <mergeCell ref="K4:K6"/>
    <mergeCell ref="F4:F9"/>
    <mergeCell ref="C4:C9"/>
    <mergeCell ref="H4:H6"/>
    <mergeCell ref="H13:H1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Flujo General</vt:lpstr>
      <vt:lpstr>Flujo detalle Otorgamiento</vt:lpstr>
      <vt:lpstr>Resultado Otorgamiento </vt:lpstr>
      <vt:lpstr>Solicitud de Crédito</vt:lpstr>
      <vt:lpstr>Análisis Financiero </vt:lpstr>
      <vt:lpstr>Historial Crediticio</vt:lpstr>
      <vt:lpstr>Scoring de Otorgamiento</vt:lpstr>
      <vt:lpstr>PE</vt:lpstr>
      <vt:lpstr>PLD Sofware</vt:lpstr>
      <vt:lpstr>Despegables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2025-10-10T16:15:49Z</dcterms:created>
  <dcterms:modified xsi:type="dcterms:W3CDTF">2025-10-29T02:47:23Z</dcterms:modified>
</cp:coreProperties>
</file>